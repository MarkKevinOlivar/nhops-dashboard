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lueravensolar-my.sharepoint.com/personal/markkevin_olivar_sunpower_com/Documents/Documents/New Homes Operations/7. SPWR Business Services, Inc/"/>
    </mc:Choice>
  </mc:AlternateContent>
  <xr:revisionPtr revIDLastSave="1" documentId="8_{18014422-519B-40EC-97EC-E1DCAE93F418}" xr6:coauthVersionLast="47" xr6:coauthVersionMax="47" xr10:uidLastSave="{D9A90A88-A85F-4D34-979D-17B0FDDBC889}"/>
  <bookViews>
    <workbookView xWindow="28680" yWindow="-120" windowWidth="29040" windowHeight="15720" firstSheet="2" activeTab="3" xr2:uid="{D20F1DBA-24A0-4DE4-A8B7-677B1DFA8B1F}"/>
  </bookViews>
  <sheets>
    <sheet name="Areas to Measure" sheetId="1" r:id="rId1"/>
    <sheet name="IX OHO" sheetId="5" r:id="rId2"/>
    <sheet name="PC SAC" sheetId="6" r:id="rId3"/>
    <sheet name="Individual Scorecard" sheetId="2" r:id="rId4"/>
    <sheet name="Report Links IX OHO PC SAC" sheetId="4" r:id="rId5"/>
    <sheet name="Logic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9" i="6" l="1"/>
  <c r="G48" i="6"/>
  <c r="G37" i="6"/>
  <c r="G16" i="6"/>
  <c r="G7" i="6"/>
  <c r="G26" i="6"/>
  <c r="E7" i="6"/>
  <c r="E16" i="6"/>
  <c r="E26" i="6"/>
  <c r="E59" i="6"/>
  <c r="E37" i="6"/>
  <c r="E48" i="6"/>
  <c r="F4" i="5"/>
  <c r="F17" i="5"/>
  <c r="E81" i="5"/>
  <c r="F109" i="5"/>
  <c r="F108" i="5"/>
  <c r="F107" i="5"/>
  <c r="F106" i="5"/>
  <c r="E30" i="5"/>
  <c r="F30" i="5" s="1"/>
  <c r="E6" i="5"/>
  <c r="F6" i="5"/>
  <c r="E120" i="5"/>
  <c r="F120" i="5"/>
  <c r="E90" i="5"/>
  <c r="E75" i="5"/>
  <c r="E45" i="5"/>
  <c r="F45" i="5"/>
  <c r="E60" i="5"/>
  <c r="F60" i="5"/>
  <c r="F90" i="5"/>
  <c r="E105" i="5"/>
  <c r="F105" i="5"/>
  <c r="F75" i="5"/>
  <c r="E128" i="5"/>
  <c r="F128" i="5"/>
  <c r="F113" i="5"/>
  <c r="F98" i="5"/>
  <c r="F83" i="5"/>
  <c r="F68" i="5"/>
  <c r="F53" i="5"/>
  <c r="F38" i="5"/>
  <c r="F23" i="5"/>
  <c r="F10" i="5"/>
  <c r="F36" i="5"/>
  <c r="F126" i="5"/>
  <c r="F111" i="5"/>
  <c r="F96" i="5"/>
  <c r="F81" i="5"/>
  <c r="F66" i="5"/>
  <c r="F51" i="5"/>
  <c r="F21" i="5"/>
  <c r="F8" i="5"/>
  <c r="F124" i="5"/>
  <c r="F123" i="5"/>
  <c r="F122" i="5"/>
  <c r="F121" i="5"/>
  <c r="F92" i="5"/>
  <c r="F94" i="5"/>
  <c r="F93" i="5"/>
  <c r="F91" i="5"/>
  <c r="F79" i="5"/>
  <c r="F77" i="5"/>
  <c r="F76" i="5"/>
  <c r="F64" i="5"/>
  <c r="F63" i="5"/>
  <c r="F62" i="5"/>
  <c r="F61" i="5"/>
  <c r="F49" i="5"/>
  <c r="F48" i="5"/>
  <c r="F47" i="5"/>
  <c r="F46" i="5"/>
  <c r="F32" i="5"/>
  <c r="F34" i="5"/>
  <c r="F33" i="5"/>
  <c r="F31" i="5"/>
  <c r="F16" i="5"/>
  <c r="F19" i="5"/>
  <c r="F18" i="5"/>
  <c r="E118" i="5"/>
  <c r="F118" i="5"/>
  <c r="E103" i="5"/>
  <c r="F103" i="5" s="1"/>
  <c r="E88" i="5"/>
  <c r="F88" i="5"/>
  <c r="E73" i="5"/>
  <c r="F73" i="5" s="1"/>
  <c r="E58" i="5"/>
  <c r="E43" i="5"/>
  <c r="F58" i="5"/>
  <c r="F43" i="5"/>
  <c r="E28" i="5"/>
  <c r="F28" i="5" s="1"/>
  <c r="E15" i="5"/>
  <c r="F15" i="5" s="1"/>
  <c r="E4" i="5"/>
  <c r="E22" i="5"/>
  <c r="F22" i="5"/>
  <c r="E82" i="5"/>
  <c r="F82" i="5" s="1"/>
  <c r="F52" i="5"/>
  <c r="F112" i="5"/>
  <c r="F9" i="5"/>
  <c r="F37" i="5"/>
  <c r="F127" i="5"/>
  <c r="F97" i="5"/>
  <c r="F67" i="5"/>
  <c r="F125" i="5"/>
  <c r="F110" i="5"/>
  <c r="F95" i="5"/>
  <c r="F80" i="5"/>
  <c r="F65" i="5"/>
  <c r="F50" i="5"/>
  <c r="F35" i="5"/>
  <c r="F20" i="5"/>
  <c r="F7" i="5"/>
  <c r="F119" i="5"/>
  <c r="F104" i="5"/>
  <c r="F89" i="5"/>
  <c r="F74" i="5"/>
  <c r="F59" i="5"/>
  <c r="F44" i="5"/>
  <c r="F29" i="5"/>
  <c r="F5" i="5"/>
  <c r="C39" i="5"/>
  <c r="C24" i="5"/>
  <c r="C11" i="5"/>
  <c r="F114" i="5" l="1"/>
  <c r="F11" i="5"/>
  <c r="F24" i="5"/>
  <c r="F39" i="5"/>
  <c r="F54" i="5"/>
  <c r="F69" i="5"/>
  <c r="F84" i="5"/>
  <c r="F99" i="5"/>
  <c r="F129" i="5"/>
</calcChain>
</file>

<file path=xl/sharedStrings.xml><?xml version="1.0" encoding="utf-8"?>
<sst xmlns="http://schemas.openxmlformats.org/spreadsheetml/2006/main" count="587" uniqueCount="153">
  <si>
    <t>Category</t>
  </si>
  <si>
    <t>Definition</t>
  </si>
  <si>
    <t>Weight (Default)</t>
  </si>
  <si>
    <t>Scoring Basis</t>
  </si>
  <si>
    <t>Productivity &amp; Efficiency</t>
  </si>
  <si>
    <t>Task performed at a given time</t>
  </si>
  <si>
    <t>Daily output per productive hours</t>
  </si>
  <si>
    <t>Service Level Agreement</t>
  </si>
  <si>
    <t>Expected level of delivery and service</t>
  </si>
  <si>
    <t>Attainment of set performance targets and indicators</t>
  </si>
  <si>
    <t>Quality</t>
  </si>
  <si>
    <t>First Pass Yield, Rejection rate</t>
  </si>
  <si>
    <t>Percentage of projects that meet quality standards on the first attempt</t>
  </si>
  <si>
    <t>Attendance</t>
  </si>
  <si>
    <t>Availability, on-time login in, schedule adherence</t>
  </si>
  <si>
    <t>Present and punctual work days over scheduled work days</t>
  </si>
  <si>
    <t>Supervisor/Manager Task</t>
  </si>
  <si>
    <t>Special Projects, adhoc task assigned</t>
  </si>
  <si>
    <t>Timeliness and quality of assigned task</t>
  </si>
  <si>
    <t>Team</t>
  </si>
  <si>
    <t>Areas to Measure</t>
  </si>
  <si>
    <t>Document Compliance 
(Reviewers for M1 - LightReach &amp; M1, M2 for LifeStyle)</t>
  </si>
  <si>
    <t>Target proactive review and target submission to Corporate QA and/or Financier</t>
  </si>
  <si>
    <t>CF2R (Certificate of Installation) 48 hours SLA from BOM request @ 95% attainment</t>
  </si>
  <si>
    <t>M1 - LightReach First Pass Yield @ 100% attainment</t>
  </si>
  <si>
    <t>Training Completion</t>
  </si>
  <si>
    <t>Document Compliance 
(Reviewers for M2 - LightReach)</t>
  </si>
  <si>
    <t>Target proactive review and target Submission to Corporate QA (US Allocation)</t>
  </si>
  <si>
    <t>inclusive of pre-QA task</t>
  </si>
  <si>
    <t xml:space="preserve">Unresponsive Tracker update, Virtual Fix Update - 24 hours SLA @ 100% </t>
  </si>
  <si>
    <t>M2 - LightReach First Pass Yield @ 100% attainment</t>
  </si>
  <si>
    <t>IX &amp; OHO</t>
  </si>
  <si>
    <t>RPTO &amp; SDPTO  Target review and submission</t>
  </si>
  <si>
    <t xml:space="preserve">SDPTO Submission, PTO &amp; FSP Validation - 24 hours SLA @ 100% attainment  </t>
  </si>
  <si>
    <t>SDPTO FPY, SDPTO Corporate QA</t>
  </si>
  <si>
    <t>Reporting Task (SDPTO Queue, Productivity Report, M2 PTO Support, NTP Date update, RAMP payment transactions, OHO FPY, INT FPY, Dependency Report, Servicing, RPTO, PTO, FSP, )</t>
  </si>
  <si>
    <t>PC &amp; SAC</t>
  </si>
  <si>
    <t>Remote activation, scheduling and re-scheduling targets,  PC task target</t>
  </si>
  <si>
    <t>work with GMD to set baseline targets and monitoring</t>
  </si>
  <si>
    <t xml:space="preserve">Applicable call metrics, PC task targets </t>
  </si>
  <si>
    <t>N/A</t>
  </si>
  <si>
    <t>Call metrics</t>
  </si>
  <si>
    <t>Remote activation, scheduling, re-scheduling</t>
  </si>
  <si>
    <t>*Remove  average speed of answer</t>
  </si>
  <si>
    <t>OHO</t>
  </si>
  <si>
    <t>Abandonment Rate</t>
  </si>
  <si>
    <t>AHT</t>
  </si>
  <si>
    <t>MOM</t>
  </si>
  <si>
    <t>WW19 Result</t>
  </si>
  <si>
    <t>Score</t>
  </si>
  <si>
    <t>SDPTO  Target review and submission</t>
  </si>
  <si>
    <t>RPTO Review</t>
  </si>
  <si>
    <t xml:space="preserve">SDPTO Submission 24 hours SLA @ 100% attainment  </t>
  </si>
  <si>
    <t>SDPTO FPY</t>
  </si>
  <si>
    <t>SDPTO Corporate QA</t>
  </si>
  <si>
    <t>Reporting Task (SDPTO Queue, Productivity Report,  INT FPY)</t>
  </si>
  <si>
    <t>RET</t>
  </si>
  <si>
    <t xml:space="preserve">PTO 24 hours SLA @ 100% attainment  </t>
  </si>
  <si>
    <t xml:space="preserve">FSP Validation 24 hours SLA @ 100% attainment  </t>
  </si>
  <si>
    <t>Reporting Task (M2 PTO Support, NTP Date update, RAMP payment transactions, Dependency Report, PTO, FSP)</t>
  </si>
  <si>
    <t>GLI</t>
  </si>
  <si>
    <t>SERVICE LEVEL (% OF CALLS ANSWERED WITHIN 60 SECONDS)</t>
  </si>
  <si>
    <t>ABANDONMENT RATE % OF &lt;=10%</t>
  </si>
  <si>
    <t>ACHIEVE AN AVERAGE HANDLE TIME (AHT) OF 15 MINS OR BELOW</t>
  </si>
  <si>
    <t>AVERAGE QUEUE ANSWER TIME (AWT) OF &lt;= 60 SEC</t>
  </si>
  <si>
    <t>Reporting Task (Sunvault Swap, OHO FPY, Unresponsive )</t>
  </si>
  <si>
    <t>KBV</t>
  </si>
  <si>
    <t>Reporting Task (Mailbox Management)</t>
  </si>
  <si>
    <t>JSB</t>
  </si>
  <si>
    <t>Reporting Task (RCCA, Leakage)</t>
  </si>
  <si>
    <t>CZH</t>
  </si>
  <si>
    <t>WW19</t>
  </si>
  <si>
    <t>Reporting Task (RCCA,RPTO)</t>
  </si>
  <si>
    <t>JOA</t>
  </si>
  <si>
    <t>Reporting Task (Servicing)</t>
  </si>
  <si>
    <t>GSD</t>
  </si>
  <si>
    <t>KOM</t>
  </si>
  <si>
    <t>Reporting Task (OHO FPY, Unresponsive )</t>
  </si>
  <si>
    <t>JJB</t>
  </si>
  <si>
    <t>WW20 Result</t>
  </si>
  <si>
    <t>Notice to Correct/ Service Work Order</t>
  </si>
  <si>
    <t>PPV</t>
  </si>
  <si>
    <t>Child Project Creation</t>
  </si>
  <si>
    <t>Design Distribution</t>
  </si>
  <si>
    <t>CBH</t>
  </si>
  <si>
    <t>Sales Proposal Creation</t>
  </si>
  <si>
    <t>IP Purchase Order</t>
  </si>
  <si>
    <t>KPC</t>
  </si>
  <si>
    <t>Service Level (% of calls answered within 60 secs), &gt;=90</t>
  </si>
  <si>
    <t>Abandonment Rate (%), &lt;=10</t>
  </si>
  <si>
    <t xml:space="preserve">Average Handle Time (AHT) min, &lt;=15 </t>
  </si>
  <si>
    <t>Average wait time, &lt;=60</t>
  </si>
  <si>
    <t>KSB</t>
  </si>
  <si>
    <t>AUF</t>
  </si>
  <si>
    <t>WW 14</t>
  </si>
  <si>
    <t>WW 15</t>
  </si>
  <si>
    <t>WW 16</t>
  </si>
  <si>
    <t>WW 17</t>
  </si>
  <si>
    <t>WW 18</t>
  </si>
  <si>
    <t>WW 19</t>
  </si>
  <si>
    <t>WW 20</t>
  </si>
  <si>
    <t>WW 21</t>
  </si>
  <si>
    <t>WW 22</t>
  </si>
  <si>
    <t>WW 23</t>
  </si>
  <si>
    <t>WW 24</t>
  </si>
  <si>
    <t>WW 25</t>
  </si>
  <si>
    <t>WW 26</t>
  </si>
  <si>
    <t>Manager</t>
  </si>
  <si>
    <t>Employee</t>
  </si>
  <si>
    <t>JG</t>
  </si>
  <si>
    <t>Rank</t>
  </si>
  <si>
    <t>GMD - Gemainne De Leon</t>
  </si>
  <si>
    <t>JOA - James Avila</t>
  </si>
  <si>
    <t>41-1</t>
  </si>
  <si>
    <t>JSB - Jeffry Burgos</t>
  </si>
  <si>
    <t>41-2</t>
  </si>
  <si>
    <t>CZH - Christine Hernandez</t>
  </si>
  <si>
    <t>GLI - Godofredo Intia Jr.</t>
  </si>
  <si>
    <t>42-1</t>
  </si>
  <si>
    <t>GSD - Gloddie Mae Due</t>
  </si>
  <si>
    <t>MOM - Ma. Aurora Magnaye</t>
  </si>
  <si>
    <t>43-1</t>
  </si>
  <si>
    <t>KOM - Kith Martinez</t>
  </si>
  <si>
    <t>RET - Rosanna Tamonang</t>
  </si>
  <si>
    <t>KBV - Kelsey Shane Valencia</t>
  </si>
  <si>
    <t>MEF - Mary Ann Francisco</t>
  </si>
  <si>
    <t>JJB - Joanne Baccay</t>
  </si>
  <si>
    <t>CBH - Cinderella Hernandez</t>
  </si>
  <si>
    <t>PPV - Perfecto Viray</t>
  </si>
  <si>
    <t>AUF - Angelica May Franco</t>
  </si>
  <si>
    <t>KPC - Kevin Carait</t>
  </si>
  <si>
    <t>KSB - Kent Balangue</t>
  </si>
  <si>
    <t>Logic</t>
  </si>
  <si>
    <t>RPTO &amp; SDPTO Target review and submission</t>
  </si>
  <si>
    <t>Actual count of RPTO and SDPTO reviewed and submitted over Target count</t>
  </si>
  <si>
    <t xml:space="preserve">Call metrics standard customer care measure, do not include Average speed of answer </t>
  </si>
  <si>
    <t>SDPTO Submission
PTO validation (Permit to Operate)
FSP Validation (FInal Solar Permit)</t>
  </si>
  <si>
    <t>24 hour TAT from start date to end date @ 95% attainment</t>
  </si>
  <si>
    <t>SDPTO First Pass Yield (Internal QA)
SDPTO First Pass Yield (Corporate QA)</t>
  </si>
  <si>
    <t>Use First Pass Yield parameters for PTO submissions via internal QA and utility submission results that pass the internal QA</t>
  </si>
  <si>
    <t>Present and punctual work days over scheduled work days
SL considered 'absent' in this measure
*Tardiness via late log-in with appropriate point deduction (TBD)</t>
  </si>
  <si>
    <t>Assigned Task</t>
  </si>
  <si>
    <t>Timeliness and consistency on actual cadence reporting
SDPTO Queue
Productivity Report 
M2 PTO Support
 NTP Date update
 RAMP payment transactions</t>
  </si>
  <si>
    <t>Project Coordinator Task 
NTC (Notice to Correct) &amp; SWO (Service Work Order)
Sales Proposal creation 
Child Project Creation
Service PO</t>
  </si>
  <si>
    <t xml:space="preserve">Count of created cases from start to end date, 1 day SLA @ 100% attainment
Need Design Proposal (start date) vs Complete Date (end date), 1day SLA @ 100% attainment
BOM Requested date (start date) vs Complete Date (end date), 1 day SLA @ 100% attainment
16 days prior to TRIM promised date, </t>
  </si>
  <si>
    <t>Call Metrics 
(Applicable to personnel doing OHO and SAC task)</t>
  </si>
  <si>
    <t>16 days prior to trim promised date. 19 days prior to rough promised date</t>
  </si>
  <si>
    <t>Escrow Update - How to measure?</t>
  </si>
  <si>
    <t>wo start date = once received. end date = o... by MEF - Mary Ann Francisco</t>
  </si>
  <si>
    <t>wo start date = once received. end date = once processed</t>
  </si>
  <si>
    <t>Report Links</t>
  </si>
  <si>
    <t>https://blueravensolar.sharepoint.com/:x:/s/INTERCONNECTIONTEAM/IQA7Xi6cRIkdRJYtXkkybX6zAVHDmirtESzWWp2f8F6sMRI?e=u8s6gI
https://app.powerbi.com/groups/me/reports/12f2a10c-9514-41d8-98ae-a23b89fcbd0e/d9a79528e5ca2a78355c?ctid=ffc7dbdc-1911-45a2-ac3f-ddfa669a5fad&amp;openReportSource=ReportInvitation&amp;experience=power-bi</t>
  </si>
  <si>
    <t>https://blueravensolar.sharepoint.com/:x:/r/sites/INTERCONNECTIONTEAM/Shared%20Documents/INTERCONNECTION%20TEAM/FPY/2026%20FPY%20ADMIN%20WORKING%20FILE.xlsx?d=w641d5c26c8704d29b2f2b606c543612e&amp;csf=1&amp;web=1&amp;e=CstaDx
Failed Corporate QA validation.xlsx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</si>
</sst>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3" borderId="1" xfId="0" applyFill="1" applyBorder="1"/>
    <xf numFmtId="9" fontId="0" fillId="3" borderId="1" xfId="0" applyNumberFormat="1" applyFill="1" applyBorder="1" applyAlignment="1">
      <alignment horizontal="center"/>
    </xf>
    <xf numFmtId="9" fontId="0" fillId="0" borderId="0" xfId="0" applyNumberFormat="1"/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5" xfId="0" applyBorder="1"/>
    <xf numFmtId="9" fontId="0" fillId="0" borderId="5" xfId="0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2" fillId="0" borderId="0" xfId="1"/>
    <xf numFmtId="0" fontId="3" fillId="0" borderId="5" xfId="0" applyFont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wrapText="1"/>
    </xf>
    <xf numFmtId="0" fontId="2" fillId="0" borderId="0" xfId="1" applyAlignment="1">
      <alignment wrapText="1"/>
    </xf>
    <xf numFmtId="0" fontId="4" fillId="0" borderId="0" xfId="0" applyFont="1"/>
    <xf numFmtId="0" fontId="6" fillId="0" borderId="0" xfId="0" applyFont="1"/>
    <xf numFmtId="0" fontId="5" fillId="0" borderId="0" xfId="0" applyFont="1"/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3" borderId="1" xfId="0" applyFill="1" applyBorder="1" applyAlignment="1">
      <alignment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18" fontId="0" fillId="0" borderId="0" xfId="0" applyNumberFormat="1"/>
    <xf numFmtId="0" fontId="0" fillId="3" borderId="8" xfId="0" applyFill="1" applyBorder="1"/>
    <xf numFmtId="0" fontId="0" fillId="3" borderId="8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9" fontId="7" fillId="0" borderId="5" xfId="0" applyNumberFormat="1" applyFont="1" applyBorder="1"/>
    <xf numFmtId="9" fontId="1" fillId="2" borderId="2" xfId="0" applyNumberFormat="1" applyFont="1" applyFill="1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2</xdr:row>
      <xdr:rowOff>266700</xdr:rowOff>
    </xdr:from>
    <xdr:to>
      <xdr:col>13</xdr:col>
      <xdr:colOff>364836</xdr:colOff>
      <xdr:row>6</xdr:row>
      <xdr:rowOff>793751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E8F7175A-8657-434B-9026-7FFD71D2B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0" y="647700"/>
          <a:ext cx="4393911" cy="2374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blueravensolar.sharepoint.com/:x:/s/INTERCONNECTIONTEAM/IQA7Xi6cRIkdRJYtXkkybX6zAVHDmirtESzWWp2f8F6sMRI?e=u8s6gI" TargetMode="External"/><Relationship Id="rId1" Type="http://schemas.openxmlformats.org/officeDocument/2006/relationships/hyperlink" Target="https://blueravensolar-my.sharepoint.com/:x:/g/personal/gemainne_deleon_sunpower_com/IQD3HQpIW985QKj9m6p8urjrAWlPzX7Hm7Azm8Wd9U_Hgao?e=ZC2aT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A86D-3270-46C3-A3F2-5F71DDFAD298}">
  <dimension ref="B2:H57"/>
  <sheetViews>
    <sheetView showGridLines="0" topLeftCell="A16" zoomScale="110" zoomScaleNormal="110" workbookViewId="0">
      <selection activeCell="B30" sqref="B30:E35"/>
    </sheetView>
  </sheetViews>
  <sheetFormatPr defaultRowHeight="14.4" x14ac:dyDescent="0.3"/>
  <cols>
    <col min="1" max="1" width="2.6640625" customWidth="1"/>
    <col min="2" max="2" width="22.5546875" bestFit="1" customWidth="1"/>
    <col min="3" max="3" width="43.44140625" bestFit="1" customWidth="1"/>
    <col min="4" max="4" width="15.44140625" bestFit="1" customWidth="1"/>
    <col min="5" max="5" width="94.88671875" bestFit="1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2" t="s">
        <v>4</v>
      </c>
      <c r="C3" s="2" t="s">
        <v>5</v>
      </c>
      <c r="D3" s="3">
        <v>0.3</v>
      </c>
      <c r="E3" s="2" t="s">
        <v>6</v>
      </c>
    </row>
    <row r="4" spans="2:5" x14ac:dyDescent="0.3">
      <c r="B4" s="2" t="s">
        <v>7</v>
      </c>
      <c r="C4" s="2" t="s">
        <v>8</v>
      </c>
      <c r="D4" s="3">
        <v>0.2</v>
      </c>
      <c r="E4" s="2" t="s">
        <v>9</v>
      </c>
    </row>
    <row r="5" spans="2:5" x14ac:dyDescent="0.3">
      <c r="B5" s="2" t="s">
        <v>10</v>
      </c>
      <c r="C5" s="2" t="s">
        <v>11</v>
      </c>
      <c r="D5" s="3">
        <v>0.2</v>
      </c>
      <c r="E5" s="2" t="s">
        <v>12</v>
      </c>
    </row>
    <row r="6" spans="2:5" x14ac:dyDescent="0.3">
      <c r="B6" s="2" t="s">
        <v>13</v>
      </c>
      <c r="C6" s="2" t="s">
        <v>14</v>
      </c>
      <c r="D6" s="3">
        <v>0.15</v>
      </c>
      <c r="E6" s="2" t="s">
        <v>15</v>
      </c>
    </row>
    <row r="7" spans="2:5" x14ac:dyDescent="0.3">
      <c r="B7" s="2" t="s">
        <v>16</v>
      </c>
      <c r="C7" s="2" t="s">
        <v>17</v>
      </c>
      <c r="D7" s="3">
        <v>0.15</v>
      </c>
      <c r="E7" s="2" t="s">
        <v>18</v>
      </c>
    </row>
    <row r="9" spans="2:5" x14ac:dyDescent="0.3">
      <c r="B9" s="1" t="s">
        <v>0</v>
      </c>
      <c r="C9" s="1" t="s">
        <v>19</v>
      </c>
      <c r="D9" s="1" t="s">
        <v>2</v>
      </c>
      <c r="E9" s="1" t="s">
        <v>20</v>
      </c>
    </row>
    <row r="10" spans="2:5" x14ac:dyDescent="0.3">
      <c r="B10" s="2" t="s">
        <v>4</v>
      </c>
      <c r="C10" s="48" t="s">
        <v>21</v>
      </c>
      <c r="D10" s="3">
        <v>0.3</v>
      </c>
      <c r="E10" s="2" t="s">
        <v>22</v>
      </c>
    </row>
    <row r="11" spans="2:5" x14ac:dyDescent="0.3">
      <c r="B11" s="2" t="s">
        <v>7</v>
      </c>
      <c r="C11" s="49"/>
      <c r="D11" s="3">
        <v>0.2</v>
      </c>
      <c r="E11" s="2" t="s">
        <v>23</v>
      </c>
    </row>
    <row r="12" spans="2:5" x14ac:dyDescent="0.3">
      <c r="B12" s="2" t="s">
        <v>10</v>
      </c>
      <c r="C12" s="49"/>
      <c r="D12" s="3">
        <v>0.2</v>
      </c>
      <c r="E12" s="2" t="s">
        <v>24</v>
      </c>
    </row>
    <row r="13" spans="2:5" x14ac:dyDescent="0.3">
      <c r="B13" s="2" t="s">
        <v>13</v>
      </c>
      <c r="C13" s="49"/>
      <c r="D13" s="3">
        <v>0.15</v>
      </c>
      <c r="E13" s="2" t="s">
        <v>15</v>
      </c>
    </row>
    <row r="14" spans="2:5" x14ac:dyDescent="0.3">
      <c r="B14" s="2" t="s">
        <v>16</v>
      </c>
      <c r="C14" s="50"/>
      <c r="D14" s="3">
        <v>0.15</v>
      </c>
      <c r="E14" s="2" t="s">
        <v>25</v>
      </c>
    </row>
    <row r="16" spans="2:5" x14ac:dyDescent="0.3">
      <c r="B16" s="1" t="s">
        <v>0</v>
      </c>
      <c r="C16" s="1" t="s">
        <v>19</v>
      </c>
      <c r="D16" s="1" t="s">
        <v>2</v>
      </c>
      <c r="E16" s="1" t="s">
        <v>20</v>
      </c>
    </row>
    <row r="17" spans="2:8" x14ac:dyDescent="0.3">
      <c r="B17" s="2" t="s">
        <v>4</v>
      </c>
      <c r="C17" s="48" t="s">
        <v>26</v>
      </c>
      <c r="D17" s="3">
        <v>0.3</v>
      </c>
      <c r="E17" s="2" t="s">
        <v>27</v>
      </c>
      <c r="F17" t="s">
        <v>28</v>
      </c>
    </row>
    <row r="18" spans="2:8" x14ac:dyDescent="0.3">
      <c r="B18" s="2" t="s">
        <v>7</v>
      </c>
      <c r="C18" s="49"/>
      <c r="D18" s="3">
        <v>0.2</v>
      </c>
      <c r="E18" s="2" t="s">
        <v>29</v>
      </c>
    </row>
    <row r="19" spans="2:8" x14ac:dyDescent="0.3">
      <c r="B19" s="2" t="s">
        <v>10</v>
      </c>
      <c r="C19" s="49"/>
      <c r="D19" s="3">
        <v>0.2</v>
      </c>
      <c r="E19" s="2" t="s">
        <v>30</v>
      </c>
    </row>
    <row r="20" spans="2:8" x14ac:dyDescent="0.3">
      <c r="B20" s="2" t="s">
        <v>13</v>
      </c>
      <c r="C20" s="49"/>
      <c r="D20" s="3">
        <v>0.15</v>
      </c>
      <c r="E20" s="2" t="s">
        <v>15</v>
      </c>
    </row>
    <row r="21" spans="2:8" x14ac:dyDescent="0.3">
      <c r="B21" s="2" t="s">
        <v>16</v>
      </c>
      <c r="C21" s="50"/>
      <c r="D21" s="3">
        <v>0.15</v>
      </c>
      <c r="E21" s="2" t="s">
        <v>25</v>
      </c>
    </row>
    <row r="23" spans="2:8" x14ac:dyDescent="0.3">
      <c r="B23" s="1" t="s">
        <v>0</v>
      </c>
      <c r="C23" s="1" t="s">
        <v>19</v>
      </c>
      <c r="D23" s="1" t="s">
        <v>2</v>
      </c>
      <c r="E23" s="1" t="s">
        <v>20</v>
      </c>
    </row>
    <row r="24" spans="2:8" x14ac:dyDescent="0.3">
      <c r="B24" s="4" t="s">
        <v>4</v>
      </c>
      <c r="C24" s="42" t="s">
        <v>31</v>
      </c>
      <c r="D24" s="5">
        <v>0.3</v>
      </c>
      <c r="E24" s="4" t="s">
        <v>32</v>
      </c>
    </row>
    <row r="25" spans="2:8" x14ac:dyDescent="0.3">
      <c r="B25" s="4" t="s">
        <v>7</v>
      </c>
      <c r="C25" s="43"/>
      <c r="D25" s="5">
        <v>0.2</v>
      </c>
      <c r="E25" s="4" t="s">
        <v>33</v>
      </c>
    </row>
    <row r="26" spans="2:8" x14ac:dyDescent="0.3">
      <c r="B26" s="4" t="s">
        <v>10</v>
      </c>
      <c r="C26" s="43"/>
      <c r="D26" s="5">
        <v>0.2</v>
      </c>
      <c r="E26" s="4" t="s">
        <v>34</v>
      </c>
    </row>
    <row r="27" spans="2:8" x14ac:dyDescent="0.3">
      <c r="B27" s="4" t="s">
        <v>13</v>
      </c>
      <c r="C27" s="43"/>
      <c r="D27" s="5">
        <v>0.15</v>
      </c>
      <c r="E27" s="4" t="s">
        <v>15</v>
      </c>
    </row>
    <row r="28" spans="2:8" ht="28.8" x14ac:dyDescent="0.3">
      <c r="B28" s="4" t="s">
        <v>16</v>
      </c>
      <c r="C28" s="44"/>
      <c r="D28" s="5">
        <v>0.15</v>
      </c>
      <c r="E28" s="32" t="s">
        <v>35</v>
      </c>
      <c r="H28" s="6"/>
    </row>
    <row r="30" spans="2:8" x14ac:dyDescent="0.3">
      <c r="B30" s="1" t="s">
        <v>0</v>
      </c>
      <c r="C30" s="1" t="s">
        <v>19</v>
      </c>
      <c r="D30" s="1" t="s">
        <v>2</v>
      </c>
      <c r="E30" s="1" t="s">
        <v>20</v>
      </c>
    </row>
    <row r="31" spans="2:8" x14ac:dyDescent="0.3">
      <c r="B31" s="4" t="s">
        <v>4</v>
      </c>
      <c r="C31" s="42" t="s">
        <v>36</v>
      </c>
      <c r="D31" s="5">
        <v>0.3</v>
      </c>
      <c r="E31" s="4" t="s">
        <v>37</v>
      </c>
      <c r="F31" t="s">
        <v>38</v>
      </c>
    </row>
    <row r="32" spans="2:8" x14ac:dyDescent="0.3">
      <c r="B32" s="4" t="s">
        <v>7</v>
      </c>
      <c r="C32" s="43"/>
      <c r="D32" s="5">
        <v>0.2</v>
      </c>
      <c r="E32" s="4" t="s">
        <v>39</v>
      </c>
    </row>
    <row r="33" spans="2:5" x14ac:dyDescent="0.3">
      <c r="B33" s="4" t="s">
        <v>10</v>
      </c>
      <c r="C33" s="43"/>
      <c r="D33" s="5">
        <v>0.2</v>
      </c>
      <c r="E33" s="4" t="s">
        <v>40</v>
      </c>
    </row>
    <row r="34" spans="2:5" x14ac:dyDescent="0.3">
      <c r="B34" s="4" t="s">
        <v>13</v>
      </c>
      <c r="C34" s="43"/>
      <c r="D34" s="5">
        <v>0.15</v>
      </c>
      <c r="E34" s="4" t="s">
        <v>15</v>
      </c>
    </row>
    <row r="35" spans="2:5" x14ac:dyDescent="0.3">
      <c r="B35" s="4" t="s">
        <v>16</v>
      </c>
      <c r="C35" s="44"/>
      <c r="D35" s="5">
        <v>0.15</v>
      </c>
      <c r="E35" s="4" t="s">
        <v>40</v>
      </c>
    </row>
    <row r="37" spans="2:5" x14ac:dyDescent="0.3">
      <c r="B37" t="s">
        <v>41</v>
      </c>
    </row>
    <row r="42" spans="2:5" x14ac:dyDescent="0.3">
      <c r="E42" t="s">
        <v>42</v>
      </c>
    </row>
    <row r="52" spans="2:2" x14ac:dyDescent="0.3">
      <c r="B52" t="s">
        <v>43</v>
      </c>
    </row>
    <row r="54" spans="2:2" x14ac:dyDescent="0.3">
      <c r="B54" t="s">
        <v>44</v>
      </c>
    </row>
    <row r="55" spans="2:2" x14ac:dyDescent="0.3">
      <c r="B55" t="s">
        <v>7</v>
      </c>
    </row>
    <row r="56" spans="2:2" x14ac:dyDescent="0.3">
      <c r="B56" t="s">
        <v>45</v>
      </c>
    </row>
    <row r="57" spans="2:2" x14ac:dyDescent="0.3">
      <c r="B57" t="s">
        <v>46</v>
      </c>
    </row>
  </sheetData>
  <mergeCells count="4">
    <mergeCell ref="C10:C14"/>
    <mergeCell ref="C17:C21"/>
    <mergeCell ref="C24:C28"/>
    <mergeCell ref="C31:C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876E-F391-4031-9168-493F86AD229D}">
  <dimension ref="A2:F129"/>
  <sheetViews>
    <sheetView topLeftCell="A17" workbookViewId="0">
      <selection activeCell="F38" sqref="F38"/>
    </sheetView>
  </sheetViews>
  <sheetFormatPr defaultRowHeight="14.4" x14ac:dyDescent="0.3"/>
  <cols>
    <col min="1" max="1" width="36.5546875" customWidth="1"/>
    <col min="2" max="2" width="17.33203125" customWidth="1"/>
    <col min="3" max="3" width="17.6640625" customWidth="1"/>
    <col min="4" max="4" width="95.33203125" customWidth="1"/>
    <col min="5" max="5" width="6.6640625" customWidth="1"/>
    <col min="6" max="6" width="7.109375" customWidth="1"/>
  </cols>
  <sheetData>
    <row r="2" spans="1:6" x14ac:dyDescent="0.3">
      <c r="A2" t="s">
        <v>47</v>
      </c>
    </row>
    <row r="3" spans="1:6" ht="28.8" x14ac:dyDescent="0.3">
      <c r="A3" s="1" t="s">
        <v>0</v>
      </c>
      <c r="B3" s="1" t="s">
        <v>19</v>
      </c>
      <c r="C3" s="1" t="s">
        <v>2</v>
      </c>
      <c r="D3" s="1" t="s">
        <v>20</v>
      </c>
      <c r="E3" s="39" t="s">
        <v>48</v>
      </c>
      <c r="F3" s="38" t="s">
        <v>49</v>
      </c>
    </row>
    <row r="4" spans="1:6" x14ac:dyDescent="0.3">
      <c r="A4" s="4" t="s">
        <v>4</v>
      </c>
      <c r="B4" s="42" t="s">
        <v>31</v>
      </c>
      <c r="C4" s="5">
        <v>0.15</v>
      </c>
      <c r="D4" s="34" t="s">
        <v>50</v>
      </c>
      <c r="E4" s="10">
        <f>2/5</f>
        <v>0.4</v>
      </c>
      <c r="F4" s="10">
        <f t="shared" ref="F4:F10" si="0">E4*C4</f>
        <v>0.06</v>
      </c>
    </row>
    <row r="5" spans="1:6" x14ac:dyDescent="0.3">
      <c r="A5" s="4"/>
      <c r="B5" s="43"/>
      <c r="C5" s="5">
        <v>0.15</v>
      </c>
      <c r="D5" s="34" t="s">
        <v>51</v>
      </c>
      <c r="E5" s="10">
        <v>1</v>
      </c>
      <c r="F5" s="10">
        <f t="shared" si="0"/>
        <v>0.15</v>
      </c>
    </row>
    <row r="6" spans="1:6" x14ac:dyDescent="0.3">
      <c r="A6" s="4" t="s">
        <v>7</v>
      </c>
      <c r="B6" s="43"/>
      <c r="C6" s="5">
        <v>0.15</v>
      </c>
      <c r="D6" s="34" t="s">
        <v>52</v>
      </c>
      <c r="E6" s="10">
        <f>2/2</f>
        <v>1</v>
      </c>
      <c r="F6" s="10">
        <f t="shared" si="0"/>
        <v>0.15</v>
      </c>
    </row>
    <row r="7" spans="1:6" x14ac:dyDescent="0.3">
      <c r="A7" s="4" t="s">
        <v>10</v>
      </c>
      <c r="B7" s="43"/>
      <c r="C7" s="5">
        <v>0.1</v>
      </c>
      <c r="D7" s="34" t="s">
        <v>53</v>
      </c>
      <c r="E7" s="10">
        <v>1</v>
      </c>
      <c r="F7" s="10">
        <f t="shared" si="0"/>
        <v>0.1</v>
      </c>
    </row>
    <row r="8" spans="1:6" x14ac:dyDescent="0.3">
      <c r="A8" s="4"/>
      <c r="B8" s="43"/>
      <c r="C8" s="5">
        <v>0.1</v>
      </c>
      <c r="D8" s="34" t="s">
        <v>54</v>
      </c>
      <c r="E8" s="10">
        <v>1</v>
      </c>
      <c r="F8" s="10">
        <f t="shared" si="0"/>
        <v>0.1</v>
      </c>
    </row>
    <row r="9" spans="1:6" x14ac:dyDescent="0.3">
      <c r="A9" s="4" t="s">
        <v>13</v>
      </c>
      <c r="B9" s="43"/>
      <c r="C9" s="5">
        <v>0.15</v>
      </c>
      <c r="D9" s="34" t="s">
        <v>15</v>
      </c>
      <c r="E9" s="10">
        <v>1</v>
      </c>
      <c r="F9" s="10">
        <f t="shared" si="0"/>
        <v>0.15</v>
      </c>
    </row>
    <row r="10" spans="1:6" x14ac:dyDescent="0.3">
      <c r="A10" s="4" t="s">
        <v>16</v>
      </c>
      <c r="B10" s="44"/>
      <c r="C10" s="5">
        <v>0.2</v>
      </c>
      <c r="D10" s="35" t="s">
        <v>55</v>
      </c>
      <c r="E10" s="10">
        <v>1</v>
      </c>
      <c r="F10" s="10">
        <f t="shared" si="0"/>
        <v>0.2</v>
      </c>
    </row>
    <row r="11" spans="1:6" x14ac:dyDescent="0.3">
      <c r="C11" s="37">
        <f>SUM(C4:C10)</f>
        <v>1</v>
      </c>
      <c r="F11" s="6">
        <f>SUM(F4:F10)</f>
        <v>0.90999999999999992</v>
      </c>
    </row>
    <row r="13" spans="1:6" x14ac:dyDescent="0.3">
      <c r="A13" t="s">
        <v>56</v>
      </c>
    </row>
    <row r="14" spans="1:6" ht="28.8" x14ac:dyDescent="0.3">
      <c r="A14" s="1" t="s">
        <v>0</v>
      </c>
      <c r="B14" s="1" t="s">
        <v>19</v>
      </c>
      <c r="C14" s="1" t="s">
        <v>2</v>
      </c>
      <c r="D14" s="1" t="s">
        <v>20</v>
      </c>
      <c r="E14" s="39" t="s">
        <v>48</v>
      </c>
      <c r="F14" s="38" t="s">
        <v>49</v>
      </c>
    </row>
    <row r="15" spans="1:6" x14ac:dyDescent="0.3">
      <c r="A15" s="4" t="s">
        <v>4</v>
      </c>
      <c r="B15" s="42" t="s">
        <v>31</v>
      </c>
      <c r="C15" s="5">
        <v>0.15</v>
      </c>
      <c r="D15" s="4" t="s">
        <v>50</v>
      </c>
      <c r="E15" s="10">
        <f>0/5</f>
        <v>0</v>
      </c>
      <c r="F15" s="10">
        <f t="shared" ref="F15:F23" si="1">E15*C15</f>
        <v>0</v>
      </c>
    </row>
    <row r="16" spans="1:6" x14ac:dyDescent="0.3">
      <c r="A16" s="4"/>
      <c r="B16" s="43"/>
      <c r="C16" s="5">
        <v>0.15</v>
      </c>
      <c r="D16" s="4" t="s">
        <v>51</v>
      </c>
      <c r="E16" s="10">
        <v>1</v>
      </c>
      <c r="F16" s="10">
        <f t="shared" si="1"/>
        <v>0.15</v>
      </c>
    </row>
    <row r="17" spans="1:6" x14ac:dyDescent="0.3">
      <c r="A17" s="4" t="s">
        <v>7</v>
      </c>
      <c r="B17" s="43"/>
      <c r="C17" s="5">
        <v>0.1</v>
      </c>
      <c r="D17" s="4" t="s">
        <v>52</v>
      </c>
      <c r="E17" s="10">
        <v>0</v>
      </c>
      <c r="F17" s="10">
        <f t="shared" si="1"/>
        <v>0</v>
      </c>
    </row>
    <row r="18" spans="1:6" x14ac:dyDescent="0.3">
      <c r="A18" s="4"/>
      <c r="B18" s="43"/>
      <c r="C18" s="5">
        <v>0.15</v>
      </c>
      <c r="D18" s="4" t="s">
        <v>57</v>
      </c>
      <c r="E18" s="10">
        <v>1</v>
      </c>
      <c r="F18" s="10">
        <f t="shared" si="1"/>
        <v>0.15</v>
      </c>
    </row>
    <row r="19" spans="1:6" x14ac:dyDescent="0.3">
      <c r="A19" s="4"/>
      <c r="B19" s="43"/>
      <c r="C19" s="5">
        <v>0.1</v>
      </c>
      <c r="D19" s="4" t="s">
        <v>58</v>
      </c>
      <c r="E19" s="10">
        <v>1</v>
      </c>
      <c r="F19" s="10">
        <f t="shared" si="1"/>
        <v>0.1</v>
      </c>
    </row>
    <row r="20" spans="1:6" x14ac:dyDescent="0.3">
      <c r="A20" s="4" t="s">
        <v>10</v>
      </c>
      <c r="B20" s="43"/>
      <c r="C20" s="5">
        <v>0.1</v>
      </c>
      <c r="D20" s="4" t="s">
        <v>53</v>
      </c>
      <c r="E20" s="10">
        <v>1</v>
      </c>
      <c r="F20" s="10">
        <f t="shared" si="1"/>
        <v>0.1</v>
      </c>
    </row>
    <row r="21" spans="1:6" x14ac:dyDescent="0.3">
      <c r="A21" s="4"/>
      <c r="B21" s="43"/>
      <c r="C21" s="5">
        <v>0.1</v>
      </c>
      <c r="D21" s="4" t="s">
        <v>54</v>
      </c>
      <c r="E21" s="10">
        <v>0</v>
      </c>
      <c r="F21" s="10">
        <f t="shared" si="1"/>
        <v>0</v>
      </c>
    </row>
    <row r="22" spans="1:6" x14ac:dyDescent="0.3">
      <c r="A22" s="4" t="s">
        <v>13</v>
      </c>
      <c r="B22" s="43"/>
      <c r="C22" s="5">
        <v>0.15</v>
      </c>
      <c r="D22" s="4" t="s">
        <v>15</v>
      </c>
      <c r="E22" s="10">
        <f>4/5*100%</f>
        <v>0.8</v>
      </c>
      <c r="F22" s="10">
        <f t="shared" si="1"/>
        <v>0.12</v>
      </c>
    </row>
    <row r="23" spans="1:6" x14ac:dyDescent="0.3">
      <c r="A23" s="4" t="s">
        <v>16</v>
      </c>
      <c r="B23" s="44"/>
      <c r="C23" s="5">
        <v>0.3</v>
      </c>
      <c r="D23" s="32" t="s">
        <v>59</v>
      </c>
      <c r="E23" s="10">
        <v>1</v>
      </c>
      <c r="F23" s="10">
        <f t="shared" si="1"/>
        <v>0.3</v>
      </c>
    </row>
    <row r="24" spans="1:6" x14ac:dyDescent="0.3">
      <c r="C24" s="37">
        <f>SUM(C17:C23)</f>
        <v>1</v>
      </c>
      <c r="F24" s="6">
        <f>SUM(F15:F23)</f>
        <v>0.91999999999999993</v>
      </c>
    </row>
    <row r="26" spans="1:6" x14ac:dyDescent="0.3">
      <c r="A26" t="s">
        <v>60</v>
      </c>
    </row>
    <row r="27" spans="1:6" ht="28.8" x14ac:dyDescent="0.3">
      <c r="A27" s="1" t="s">
        <v>0</v>
      </c>
      <c r="B27" s="1" t="s">
        <v>19</v>
      </c>
      <c r="C27" s="1" t="s">
        <v>2</v>
      </c>
      <c r="D27" s="1" t="s">
        <v>20</v>
      </c>
      <c r="E27" s="39" t="s">
        <v>48</v>
      </c>
      <c r="F27" s="38" t="s">
        <v>49</v>
      </c>
    </row>
    <row r="28" spans="1:6" x14ac:dyDescent="0.3">
      <c r="A28" s="4" t="s">
        <v>4</v>
      </c>
      <c r="B28" s="42" t="s">
        <v>31</v>
      </c>
      <c r="C28" s="5">
        <v>0.15</v>
      </c>
      <c r="D28" s="4" t="s">
        <v>50</v>
      </c>
      <c r="E28" s="10">
        <f>0/5</f>
        <v>0</v>
      </c>
      <c r="F28" s="10">
        <f t="shared" ref="F28:F38" si="2">E28*C28</f>
        <v>0</v>
      </c>
    </row>
    <row r="29" spans="1:6" x14ac:dyDescent="0.3">
      <c r="A29" s="4"/>
      <c r="B29" s="43"/>
      <c r="C29" s="5">
        <v>0.1</v>
      </c>
      <c r="D29" s="4" t="s">
        <v>51</v>
      </c>
      <c r="E29" s="10">
        <v>1</v>
      </c>
      <c r="F29" s="10">
        <f t="shared" si="2"/>
        <v>0.1</v>
      </c>
    </row>
    <row r="30" spans="1:6" x14ac:dyDescent="0.3">
      <c r="A30" s="4" t="s">
        <v>7</v>
      </c>
      <c r="B30" s="43"/>
      <c r="C30" s="5">
        <v>0.1</v>
      </c>
      <c r="D30" s="4" t="s">
        <v>52</v>
      </c>
      <c r="E30" s="10">
        <f>0/5</f>
        <v>0</v>
      </c>
      <c r="F30" s="10">
        <f t="shared" si="2"/>
        <v>0</v>
      </c>
    </row>
    <row r="31" spans="1:6" x14ac:dyDescent="0.3">
      <c r="A31" s="4"/>
      <c r="B31" s="43"/>
      <c r="C31" s="5">
        <v>0.05</v>
      </c>
      <c r="D31" s="4" t="s">
        <v>61</v>
      </c>
      <c r="E31" s="10">
        <v>1</v>
      </c>
      <c r="F31" s="10">
        <f t="shared" si="2"/>
        <v>0.05</v>
      </c>
    </row>
    <row r="32" spans="1:6" x14ac:dyDescent="0.3">
      <c r="A32" s="4"/>
      <c r="B32" s="43"/>
      <c r="C32" s="5">
        <v>0.05</v>
      </c>
      <c r="D32" s="4" t="s">
        <v>62</v>
      </c>
      <c r="E32" s="10">
        <v>1</v>
      </c>
      <c r="F32" s="10">
        <f t="shared" si="2"/>
        <v>0.05</v>
      </c>
    </row>
    <row r="33" spans="1:6" x14ac:dyDescent="0.3">
      <c r="A33" s="4"/>
      <c r="B33" s="43"/>
      <c r="C33" s="5">
        <v>0.05</v>
      </c>
      <c r="D33" s="4" t="s">
        <v>63</v>
      </c>
      <c r="E33" s="10">
        <v>1</v>
      </c>
      <c r="F33" s="10">
        <f t="shared" si="2"/>
        <v>0.05</v>
      </c>
    </row>
    <row r="34" spans="1:6" x14ac:dyDescent="0.3">
      <c r="A34" s="4"/>
      <c r="B34" s="43"/>
      <c r="C34" s="5">
        <v>0.05</v>
      </c>
      <c r="D34" s="4" t="s">
        <v>64</v>
      </c>
      <c r="E34" s="10">
        <v>1</v>
      </c>
      <c r="F34" s="10">
        <f t="shared" si="2"/>
        <v>0.05</v>
      </c>
    </row>
    <row r="35" spans="1:6" x14ac:dyDescent="0.3">
      <c r="A35" s="4" t="s">
        <v>10</v>
      </c>
      <c r="B35" s="43"/>
      <c r="C35" s="5">
        <v>0.1</v>
      </c>
      <c r="D35" s="4" t="s">
        <v>53</v>
      </c>
      <c r="E35" s="10">
        <v>1</v>
      </c>
      <c r="F35" s="10">
        <f t="shared" si="2"/>
        <v>0.1</v>
      </c>
    </row>
    <row r="36" spans="1:6" x14ac:dyDescent="0.3">
      <c r="A36" s="4"/>
      <c r="B36" s="43"/>
      <c r="C36" s="5">
        <v>0.1</v>
      </c>
      <c r="D36" s="4" t="s">
        <v>54</v>
      </c>
      <c r="E36" s="10">
        <v>0</v>
      </c>
      <c r="F36" s="10">
        <f t="shared" si="2"/>
        <v>0</v>
      </c>
    </row>
    <row r="37" spans="1:6" x14ac:dyDescent="0.3">
      <c r="A37" s="4" t="s">
        <v>13</v>
      </c>
      <c r="B37" s="43"/>
      <c r="C37" s="5">
        <v>0.15</v>
      </c>
      <c r="D37" s="4" t="s">
        <v>15</v>
      </c>
      <c r="E37" s="10">
        <v>1</v>
      </c>
      <c r="F37" s="10">
        <f t="shared" si="2"/>
        <v>0.15</v>
      </c>
    </row>
    <row r="38" spans="1:6" x14ac:dyDescent="0.3">
      <c r="A38" s="4" t="s">
        <v>16</v>
      </c>
      <c r="B38" s="44"/>
      <c r="C38" s="5">
        <v>0.1</v>
      </c>
      <c r="D38" s="32" t="s">
        <v>65</v>
      </c>
      <c r="E38" s="10">
        <v>1</v>
      </c>
      <c r="F38" s="10">
        <f t="shared" si="2"/>
        <v>0.1</v>
      </c>
    </row>
    <row r="39" spans="1:6" x14ac:dyDescent="0.3">
      <c r="C39" s="6">
        <f>SUM(C28:C38)</f>
        <v>0.99999999999999989</v>
      </c>
      <c r="F39" s="6">
        <f>SUM(F28:F38)</f>
        <v>0.65</v>
      </c>
    </row>
    <row r="41" spans="1:6" x14ac:dyDescent="0.3">
      <c r="A41" t="s">
        <v>66</v>
      </c>
    </row>
    <row r="42" spans="1:6" ht="28.8" x14ac:dyDescent="0.3">
      <c r="A42" s="1" t="s">
        <v>0</v>
      </c>
      <c r="B42" s="1" t="s">
        <v>19</v>
      </c>
      <c r="C42" s="1" t="s">
        <v>2</v>
      </c>
      <c r="D42" s="1" t="s">
        <v>20</v>
      </c>
      <c r="E42" s="39" t="s">
        <v>48</v>
      </c>
      <c r="F42" s="38" t="s">
        <v>49</v>
      </c>
    </row>
    <row r="43" spans="1:6" x14ac:dyDescent="0.3">
      <c r="A43" s="4" t="s">
        <v>4</v>
      </c>
      <c r="B43" s="42" t="s">
        <v>31</v>
      </c>
      <c r="C43" s="5">
        <v>0.15</v>
      </c>
      <c r="D43" s="4" t="s">
        <v>50</v>
      </c>
      <c r="E43" s="10">
        <f>3/5</f>
        <v>0.6</v>
      </c>
      <c r="F43" s="10">
        <f t="shared" ref="F43:F53" si="3">E43*C43</f>
        <v>0.09</v>
      </c>
    </row>
    <row r="44" spans="1:6" x14ac:dyDescent="0.3">
      <c r="A44" s="4"/>
      <c r="B44" s="43"/>
      <c r="C44" s="5">
        <v>0.1</v>
      </c>
      <c r="D44" s="4" t="s">
        <v>51</v>
      </c>
      <c r="E44" s="10">
        <v>1</v>
      </c>
      <c r="F44" s="10">
        <f t="shared" si="3"/>
        <v>0.1</v>
      </c>
    </row>
    <row r="45" spans="1:6" x14ac:dyDescent="0.3">
      <c r="A45" s="4" t="s">
        <v>7</v>
      </c>
      <c r="B45" s="43"/>
      <c r="C45" s="5">
        <v>0.1</v>
      </c>
      <c r="D45" s="4" t="s">
        <v>52</v>
      </c>
      <c r="E45" s="10">
        <f>3/3</f>
        <v>1</v>
      </c>
      <c r="F45" s="10">
        <f t="shared" si="3"/>
        <v>0.1</v>
      </c>
    </row>
    <row r="46" spans="1:6" x14ac:dyDescent="0.3">
      <c r="A46" s="4"/>
      <c r="B46" s="43"/>
      <c r="C46" s="5">
        <v>0.05</v>
      </c>
      <c r="D46" s="4" t="s">
        <v>61</v>
      </c>
      <c r="E46" s="10">
        <v>1</v>
      </c>
      <c r="F46" s="10">
        <f t="shared" si="3"/>
        <v>0.05</v>
      </c>
    </row>
    <row r="47" spans="1:6" x14ac:dyDescent="0.3">
      <c r="A47" s="4"/>
      <c r="B47" s="43"/>
      <c r="C47" s="5">
        <v>0.05</v>
      </c>
      <c r="D47" s="4" t="s">
        <v>62</v>
      </c>
      <c r="E47" s="10">
        <v>1</v>
      </c>
      <c r="F47" s="10">
        <f t="shared" si="3"/>
        <v>0.05</v>
      </c>
    </row>
    <row r="48" spans="1:6" x14ac:dyDescent="0.3">
      <c r="A48" s="4"/>
      <c r="B48" s="43"/>
      <c r="C48" s="5">
        <v>0.05</v>
      </c>
      <c r="D48" s="4" t="s">
        <v>63</v>
      </c>
      <c r="E48" s="10">
        <v>1</v>
      </c>
      <c r="F48" s="10">
        <f t="shared" si="3"/>
        <v>0.05</v>
      </c>
    </row>
    <row r="49" spans="1:6" x14ac:dyDescent="0.3">
      <c r="A49" s="4"/>
      <c r="B49" s="43"/>
      <c r="C49" s="5">
        <v>0.05</v>
      </c>
      <c r="D49" s="4" t="s">
        <v>64</v>
      </c>
      <c r="E49" s="10">
        <v>1</v>
      </c>
      <c r="F49" s="10">
        <f t="shared" si="3"/>
        <v>0.05</v>
      </c>
    </row>
    <row r="50" spans="1:6" x14ac:dyDescent="0.3">
      <c r="A50" s="4" t="s">
        <v>10</v>
      </c>
      <c r="B50" s="43"/>
      <c r="C50" s="5">
        <v>0.1</v>
      </c>
      <c r="D50" s="4" t="s">
        <v>53</v>
      </c>
      <c r="E50" s="10">
        <v>1</v>
      </c>
      <c r="F50" s="10">
        <f t="shared" si="3"/>
        <v>0.1</v>
      </c>
    </row>
    <row r="51" spans="1:6" x14ac:dyDescent="0.3">
      <c r="A51" s="4"/>
      <c r="B51" s="43"/>
      <c r="C51" s="5">
        <v>0.1</v>
      </c>
      <c r="D51" s="4" t="s">
        <v>54</v>
      </c>
      <c r="E51" s="10">
        <v>1</v>
      </c>
      <c r="F51" s="10">
        <f t="shared" si="3"/>
        <v>0.1</v>
      </c>
    </row>
    <row r="52" spans="1:6" x14ac:dyDescent="0.3">
      <c r="A52" s="4" t="s">
        <v>13</v>
      </c>
      <c r="B52" s="43"/>
      <c r="C52" s="5">
        <v>0.15</v>
      </c>
      <c r="D52" s="4" t="s">
        <v>15</v>
      </c>
      <c r="E52" s="10">
        <v>1</v>
      </c>
      <c r="F52" s="10">
        <f t="shared" si="3"/>
        <v>0.15</v>
      </c>
    </row>
    <row r="53" spans="1:6" x14ac:dyDescent="0.3">
      <c r="A53" s="4" t="s">
        <v>16</v>
      </c>
      <c r="B53" s="44"/>
      <c r="C53" s="5">
        <v>0.1</v>
      </c>
      <c r="D53" s="32" t="s">
        <v>67</v>
      </c>
      <c r="E53" s="10">
        <v>1</v>
      </c>
      <c r="F53" s="10">
        <f t="shared" si="3"/>
        <v>0.1</v>
      </c>
    </row>
    <row r="54" spans="1:6" x14ac:dyDescent="0.3">
      <c r="F54" s="6">
        <f>SUM(F43:F53)</f>
        <v>0.94</v>
      </c>
    </row>
    <row r="56" spans="1:6" x14ac:dyDescent="0.3">
      <c r="A56" t="s">
        <v>68</v>
      </c>
    </row>
    <row r="57" spans="1:6" ht="28.8" x14ac:dyDescent="0.3">
      <c r="A57" s="1" t="s">
        <v>0</v>
      </c>
      <c r="B57" s="1" t="s">
        <v>19</v>
      </c>
      <c r="C57" s="1" t="s">
        <v>2</v>
      </c>
      <c r="D57" s="1" t="s">
        <v>20</v>
      </c>
      <c r="E57" s="39" t="s">
        <v>48</v>
      </c>
      <c r="F57" s="38" t="s">
        <v>49</v>
      </c>
    </row>
    <row r="58" spans="1:6" x14ac:dyDescent="0.3">
      <c r="A58" s="4" t="s">
        <v>4</v>
      </c>
      <c r="B58" s="42" t="s">
        <v>31</v>
      </c>
      <c r="C58" s="5">
        <v>0.15</v>
      </c>
      <c r="D58" s="4" t="s">
        <v>50</v>
      </c>
      <c r="E58" s="10">
        <f>5/5</f>
        <v>1</v>
      </c>
      <c r="F58" s="10">
        <f t="shared" ref="F58:F68" si="4">E58*C58</f>
        <v>0.15</v>
      </c>
    </row>
    <row r="59" spans="1:6" x14ac:dyDescent="0.3">
      <c r="A59" s="4"/>
      <c r="B59" s="43"/>
      <c r="C59" s="5">
        <v>0.1</v>
      </c>
      <c r="D59" s="4" t="s">
        <v>51</v>
      </c>
      <c r="E59" s="10">
        <v>1</v>
      </c>
      <c r="F59" s="10">
        <f t="shared" si="4"/>
        <v>0.1</v>
      </c>
    </row>
    <row r="60" spans="1:6" x14ac:dyDescent="0.3">
      <c r="A60" s="4" t="s">
        <v>7</v>
      </c>
      <c r="B60" s="43"/>
      <c r="C60" s="5">
        <v>0.1</v>
      </c>
      <c r="D60" s="4" t="s">
        <v>52</v>
      </c>
      <c r="E60" s="10">
        <f>13/15</f>
        <v>0.8666666666666667</v>
      </c>
      <c r="F60" s="10">
        <f t="shared" si="4"/>
        <v>8.666666666666667E-2</v>
      </c>
    </row>
    <row r="61" spans="1:6" x14ac:dyDescent="0.3">
      <c r="A61" s="4"/>
      <c r="B61" s="43"/>
      <c r="C61" s="5">
        <v>0.05</v>
      </c>
      <c r="D61" s="4" t="s">
        <v>61</v>
      </c>
      <c r="E61" s="10">
        <v>0.85709999999999997</v>
      </c>
      <c r="F61" s="10">
        <f t="shared" si="4"/>
        <v>4.2855000000000004E-2</v>
      </c>
    </row>
    <row r="62" spans="1:6" x14ac:dyDescent="0.3">
      <c r="A62" s="4"/>
      <c r="B62" s="43"/>
      <c r="C62" s="5">
        <v>0.05</v>
      </c>
      <c r="D62" s="4" t="s">
        <v>62</v>
      </c>
      <c r="E62" s="10">
        <v>1</v>
      </c>
      <c r="F62" s="10">
        <f t="shared" si="4"/>
        <v>0.05</v>
      </c>
    </row>
    <row r="63" spans="1:6" x14ac:dyDescent="0.3">
      <c r="A63" s="4"/>
      <c r="B63" s="43"/>
      <c r="C63" s="5">
        <v>0.05</v>
      </c>
      <c r="D63" s="4" t="s">
        <v>63</v>
      </c>
      <c r="E63" s="10">
        <v>1</v>
      </c>
      <c r="F63" s="10">
        <f t="shared" si="4"/>
        <v>0.05</v>
      </c>
    </row>
    <row r="64" spans="1:6" x14ac:dyDescent="0.3">
      <c r="A64" s="4"/>
      <c r="B64" s="43"/>
      <c r="C64" s="5">
        <v>0.05</v>
      </c>
      <c r="D64" s="4" t="s">
        <v>64</v>
      </c>
      <c r="E64" s="10">
        <v>1</v>
      </c>
      <c r="F64" s="10">
        <f t="shared" si="4"/>
        <v>0.05</v>
      </c>
    </row>
    <row r="65" spans="1:6" x14ac:dyDescent="0.3">
      <c r="A65" s="4" t="s">
        <v>10</v>
      </c>
      <c r="B65" s="43"/>
      <c r="C65" s="5">
        <v>0.1</v>
      </c>
      <c r="D65" s="4" t="s">
        <v>53</v>
      </c>
      <c r="E65" s="10">
        <v>1</v>
      </c>
      <c r="F65" s="10">
        <f t="shared" si="4"/>
        <v>0.1</v>
      </c>
    </row>
    <row r="66" spans="1:6" x14ac:dyDescent="0.3">
      <c r="A66" s="4"/>
      <c r="B66" s="43"/>
      <c r="C66" s="5">
        <v>0.1</v>
      </c>
      <c r="D66" s="4" t="s">
        <v>54</v>
      </c>
      <c r="E66" s="10">
        <v>1</v>
      </c>
      <c r="F66" s="10">
        <f t="shared" si="4"/>
        <v>0.1</v>
      </c>
    </row>
    <row r="67" spans="1:6" x14ac:dyDescent="0.3">
      <c r="A67" s="4" t="s">
        <v>13</v>
      </c>
      <c r="B67" s="43"/>
      <c r="C67" s="5">
        <v>0.15</v>
      </c>
      <c r="D67" s="4" t="s">
        <v>15</v>
      </c>
      <c r="E67" s="10">
        <v>1</v>
      </c>
      <c r="F67" s="10">
        <f t="shared" si="4"/>
        <v>0.15</v>
      </c>
    </row>
    <row r="68" spans="1:6" x14ac:dyDescent="0.3">
      <c r="A68" s="4" t="s">
        <v>16</v>
      </c>
      <c r="B68" s="44"/>
      <c r="C68" s="5">
        <v>0.1</v>
      </c>
      <c r="D68" s="32" t="s">
        <v>69</v>
      </c>
      <c r="E68" s="10">
        <v>1</v>
      </c>
      <c r="F68" s="10">
        <f t="shared" si="4"/>
        <v>0.1</v>
      </c>
    </row>
    <row r="69" spans="1:6" x14ac:dyDescent="0.3">
      <c r="F69" s="6">
        <f>SUM(F58:F68)</f>
        <v>0.97952166666666662</v>
      </c>
    </row>
    <row r="71" spans="1:6" x14ac:dyDescent="0.3">
      <c r="A71" t="s">
        <v>70</v>
      </c>
    </row>
    <row r="72" spans="1:6" ht="28.8" x14ac:dyDescent="0.3">
      <c r="A72" s="1" t="s">
        <v>0</v>
      </c>
      <c r="B72" s="1" t="s">
        <v>19</v>
      </c>
      <c r="C72" s="1" t="s">
        <v>2</v>
      </c>
      <c r="D72" s="1" t="s">
        <v>20</v>
      </c>
      <c r="E72" s="39" t="s">
        <v>48</v>
      </c>
      <c r="F72" s="38" t="s">
        <v>71</v>
      </c>
    </row>
    <row r="73" spans="1:6" x14ac:dyDescent="0.3">
      <c r="A73" s="4" t="s">
        <v>4</v>
      </c>
      <c r="B73" s="42" t="s">
        <v>31</v>
      </c>
      <c r="C73" s="5">
        <v>0.15</v>
      </c>
      <c r="D73" s="4" t="s">
        <v>50</v>
      </c>
      <c r="E73" s="10">
        <f>5/5</f>
        <v>1</v>
      </c>
      <c r="F73" s="10">
        <f>E73*C73</f>
        <v>0.15</v>
      </c>
    </row>
    <row r="74" spans="1:6" x14ac:dyDescent="0.3">
      <c r="A74" s="4"/>
      <c r="B74" s="43"/>
      <c r="C74" s="5">
        <v>0.1</v>
      </c>
      <c r="D74" s="4" t="s">
        <v>51</v>
      </c>
      <c r="E74" s="10">
        <v>1</v>
      </c>
      <c r="F74" s="10">
        <f>E74*C74</f>
        <v>0.1</v>
      </c>
    </row>
    <row r="75" spans="1:6" x14ac:dyDescent="0.3">
      <c r="A75" s="4" t="s">
        <v>7</v>
      </c>
      <c r="B75" s="43"/>
      <c r="C75" s="5">
        <v>0.1</v>
      </c>
      <c r="D75" s="4" t="s">
        <v>52</v>
      </c>
      <c r="E75" s="10">
        <f>5/5</f>
        <v>1</v>
      </c>
      <c r="F75" s="10">
        <f>E75*C75</f>
        <v>0.1</v>
      </c>
    </row>
    <row r="76" spans="1:6" x14ac:dyDescent="0.3">
      <c r="A76" s="4"/>
      <c r="B76" s="43"/>
      <c r="C76" s="5">
        <v>0.05</v>
      </c>
      <c r="D76" s="4" t="s">
        <v>61</v>
      </c>
      <c r="E76" s="10">
        <v>1</v>
      </c>
      <c r="F76" s="10">
        <f>E76*C76</f>
        <v>0.05</v>
      </c>
    </row>
    <row r="77" spans="1:6" x14ac:dyDescent="0.3">
      <c r="A77" s="4"/>
      <c r="B77" s="43"/>
      <c r="C77" s="5">
        <v>0.05</v>
      </c>
      <c r="D77" s="4" t="s">
        <v>62</v>
      </c>
      <c r="E77" s="10">
        <v>1</v>
      </c>
      <c r="F77" s="10">
        <f>E77*C77</f>
        <v>0.05</v>
      </c>
    </row>
    <row r="78" spans="1:6" x14ac:dyDescent="0.3">
      <c r="A78" s="4"/>
      <c r="B78" s="43"/>
      <c r="C78" s="5">
        <v>0.05</v>
      </c>
      <c r="D78" s="4" t="s">
        <v>63</v>
      </c>
      <c r="E78" s="9"/>
      <c r="F78" s="9"/>
    </row>
    <row r="79" spans="1:6" x14ac:dyDescent="0.3">
      <c r="A79" s="4"/>
      <c r="B79" s="43"/>
      <c r="C79" s="5">
        <v>0.05</v>
      </c>
      <c r="D79" s="4" t="s">
        <v>64</v>
      </c>
      <c r="E79" s="10">
        <v>1</v>
      </c>
      <c r="F79" s="10">
        <f>E79*C79</f>
        <v>0.05</v>
      </c>
    </row>
    <row r="80" spans="1:6" x14ac:dyDescent="0.3">
      <c r="A80" s="4" t="s">
        <v>10</v>
      </c>
      <c r="B80" s="43"/>
      <c r="C80" s="5">
        <v>0.1</v>
      </c>
      <c r="D80" s="4" t="s">
        <v>53</v>
      </c>
      <c r="E80" s="10">
        <v>1</v>
      </c>
      <c r="F80" s="10">
        <f>E80*C80</f>
        <v>0.1</v>
      </c>
    </row>
    <row r="81" spans="1:6" x14ac:dyDescent="0.3">
      <c r="A81" s="4"/>
      <c r="B81" s="43"/>
      <c r="C81" s="5">
        <v>0.1</v>
      </c>
      <c r="D81" s="4" t="s">
        <v>54</v>
      </c>
      <c r="E81" s="10">
        <f>5/5</f>
        <v>1</v>
      </c>
      <c r="F81" s="10">
        <f>E81*C81</f>
        <v>0.1</v>
      </c>
    </row>
    <row r="82" spans="1:6" x14ac:dyDescent="0.3">
      <c r="A82" s="4" t="s">
        <v>13</v>
      </c>
      <c r="B82" s="43"/>
      <c r="C82" s="5">
        <v>0.15</v>
      </c>
      <c r="D82" s="4" t="s">
        <v>15</v>
      </c>
      <c r="E82" s="10">
        <f>3/5*100%</f>
        <v>0.6</v>
      </c>
      <c r="F82" s="10">
        <f>E82*C82</f>
        <v>0.09</v>
      </c>
    </row>
    <row r="83" spans="1:6" x14ac:dyDescent="0.3">
      <c r="A83" s="4" t="s">
        <v>16</v>
      </c>
      <c r="B83" s="44"/>
      <c r="C83" s="5">
        <v>0.1</v>
      </c>
      <c r="D83" s="32" t="s">
        <v>72</v>
      </c>
      <c r="E83" s="10">
        <v>1</v>
      </c>
      <c r="F83" s="10">
        <f>E83*C83</f>
        <v>0.1</v>
      </c>
    </row>
    <row r="84" spans="1:6" x14ac:dyDescent="0.3">
      <c r="F84" s="6">
        <f>SUM(F73:F83)</f>
        <v>0.8899999999999999</v>
      </c>
    </row>
    <row r="86" spans="1:6" x14ac:dyDescent="0.3">
      <c r="A86" t="s">
        <v>73</v>
      </c>
    </row>
    <row r="87" spans="1:6" ht="28.8" x14ac:dyDescent="0.3">
      <c r="A87" s="1" t="s">
        <v>0</v>
      </c>
      <c r="B87" s="1" t="s">
        <v>19</v>
      </c>
      <c r="C87" s="1" t="s">
        <v>2</v>
      </c>
      <c r="D87" s="1" t="s">
        <v>20</v>
      </c>
      <c r="E87" s="39" t="s">
        <v>48</v>
      </c>
      <c r="F87" s="36" t="s">
        <v>71</v>
      </c>
    </row>
    <row r="88" spans="1:6" x14ac:dyDescent="0.3">
      <c r="A88" s="4" t="s">
        <v>4</v>
      </c>
      <c r="B88" s="42" t="s">
        <v>31</v>
      </c>
      <c r="C88" s="5">
        <v>0.15</v>
      </c>
      <c r="D88" s="4" t="s">
        <v>50</v>
      </c>
      <c r="E88" s="10">
        <f>4/5</f>
        <v>0.8</v>
      </c>
      <c r="F88" s="10">
        <f t="shared" ref="F88:F98" si="5">E88*C88</f>
        <v>0.12</v>
      </c>
    </row>
    <row r="89" spans="1:6" x14ac:dyDescent="0.3">
      <c r="A89" s="4"/>
      <c r="B89" s="43"/>
      <c r="C89" s="5">
        <v>0.1</v>
      </c>
      <c r="D89" s="4" t="s">
        <v>51</v>
      </c>
      <c r="E89" s="10">
        <v>1</v>
      </c>
      <c r="F89" s="10">
        <f t="shared" si="5"/>
        <v>0.1</v>
      </c>
    </row>
    <row r="90" spans="1:6" x14ac:dyDescent="0.3">
      <c r="A90" s="4" t="s">
        <v>7</v>
      </c>
      <c r="B90" s="43"/>
      <c r="C90" s="5">
        <v>0.1</v>
      </c>
      <c r="D90" s="4" t="s">
        <v>52</v>
      </c>
      <c r="E90" s="10">
        <f>4/4</f>
        <v>1</v>
      </c>
      <c r="F90" s="10">
        <f t="shared" si="5"/>
        <v>0.1</v>
      </c>
    </row>
    <row r="91" spans="1:6" x14ac:dyDescent="0.3">
      <c r="A91" s="4"/>
      <c r="B91" s="43"/>
      <c r="C91" s="5">
        <v>0.05</v>
      </c>
      <c r="D91" s="4" t="s">
        <v>61</v>
      </c>
      <c r="E91" s="10">
        <v>1</v>
      </c>
      <c r="F91" s="10">
        <f t="shared" si="5"/>
        <v>0.05</v>
      </c>
    </row>
    <row r="92" spans="1:6" x14ac:dyDescent="0.3">
      <c r="A92" s="4"/>
      <c r="B92" s="43"/>
      <c r="C92" s="5">
        <v>0.05</v>
      </c>
      <c r="D92" s="4" t="s">
        <v>62</v>
      </c>
      <c r="E92" s="10">
        <v>1</v>
      </c>
      <c r="F92" s="10">
        <f t="shared" si="5"/>
        <v>0.05</v>
      </c>
    </row>
    <row r="93" spans="1:6" x14ac:dyDescent="0.3">
      <c r="A93" s="4"/>
      <c r="B93" s="43"/>
      <c r="C93" s="5">
        <v>0.05</v>
      </c>
      <c r="D93" s="4" t="s">
        <v>63</v>
      </c>
      <c r="E93" s="10">
        <v>1</v>
      </c>
      <c r="F93" s="10">
        <f t="shared" si="5"/>
        <v>0.05</v>
      </c>
    </row>
    <row r="94" spans="1:6" x14ac:dyDescent="0.3">
      <c r="A94" s="4"/>
      <c r="B94" s="43"/>
      <c r="C94" s="5">
        <v>0.05</v>
      </c>
      <c r="D94" s="4" t="s">
        <v>64</v>
      </c>
      <c r="E94" s="10">
        <v>1</v>
      </c>
      <c r="F94" s="10">
        <f t="shared" si="5"/>
        <v>0.05</v>
      </c>
    </row>
    <row r="95" spans="1:6" x14ac:dyDescent="0.3">
      <c r="A95" s="4" t="s">
        <v>10</v>
      </c>
      <c r="B95" s="43"/>
      <c r="C95" s="5">
        <v>0.1</v>
      </c>
      <c r="D95" s="4" t="s">
        <v>53</v>
      </c>
      <c r="E95" s="10">
        <v>1</v>
      </c>
      <c r="F95" s="10">
        <f t="shared" si="5"/>
        <v>0.1</v>
      </c>
    </row>
    <row r="96" spans="1:6" x14ac:dyDescent="0.3">
      <c r="A96" s="4"/>
      <c r="B96" s="43"/>
      <c r="C96" s="5">
        <v>0.1</v>
      </c>
      <c r="D96" s="4" t="s">
        <v>54</v>
      </c>
      <c r="E96" s="10">
        <v>1</v>
      </c>
      <c r="F96" s="10">
        <f t="shared" si="5"/>
        <v>0.1</v>
      </c>
    </row>
    <row r="97" spans="1:6" x14ac:dyDescent="0.3">
      <c r="A97" s="4" t="s">
        <v>13</v>
      </c>
      <c r="B97" s="43"/>
      <c r="C97" s="5">
        <v>0.15</v>
      </c>
      <c r="D97" s="4" t="s">
        <v>15</v>
      </c>
      <c r="E97" s="10">
        <v>1</v>
      </c>
      <c r="F97" s="10">
        <f t="shared" si="5"/>
        <v>0.15</v>
      </c>
    </row>
    <row r="98" spans="1:6" x14ac:dyDescent="0.3">
      <c r="A98" s="4" t="s">
        <v>16</v>
      </c>
      <c r="B98" s="44"/>
      <c r="C98" s="5">
        <v>0.1</v>
      </c>
      <c r="D98" s="32" t="s">
        <v>74</v>
      </c>
      <c r="E98" s="10">
        <v>1</v>
      </c>
      <c r="F98" s="10">
        <f t="shared" si="5"/>
        <v>0.1</v>
      </c>
    </row>
    <row r="99" spans="1:6" x14ac:dyDescent="0.3">
      <c r="F99" s="6">
        <f>SUM(F88:F98)</f>
        <v>0.97</v>
      </c>
    </row>
    <row r="101" spans="1:6" x14ac:dyDescent="0.3">
      <c r="A101" t="s">
        <v>75</v>
      </c>
    </row>
    <row r="102" spans="1:6" ht="28.8" x14ac:dyDescent="0.3">
      <c r="A102" s="1" t="s">
        <v>0</v>
      </c>
      <c r="B102" s="1" t="s">
        <v>19</v>
      </c>
      <c r="C102" s="1" t="s">
        <v>2</v>
      </c>
      <c r="D102" s="1" t="s">
        <v>20</v>
      </c>
      <c r="E102" s="39" t="s">
        <v>48</v>
      </c>
      <c r="F102" s="36" t="s">
        <v>71</v>
      </c>
    </row>
    <row r="103" spans="1:6" x14ac:dyDescent="0.3">
      <c r="A103" s="4" t="s">
        <v>4</v>
      </c>
      <c r="B103" s="42" t="s">
        <v>31</v>
      </c>
      <c r="C103" s="5">
        <v>0.15</v>
      </c>
      <c r="D103" s="4" t="s">
        <v>50</v>
      </c>
      <c r="E103" s="10">
        <f>5/5</f>
        <v>1</v>
      </c>
      <c r="F103" s="10">
        <f t="shared" ref="F103:F113" si="6">E103*C103</f>
        <v>0.15</v>
      </c>
    </row>
    <row r="104" spans="1:6" x14ac:dyDescent="0.3">
      <c r="A104" s="4"/>
      <c r="B104" s="43"/>
      <c r="C104" s="5">
        <v>0.1</v>
      </c>
      <c r="D104" s="4" t="s">
        <v>51</v>
      </c>
      <c r="E104" s="10">
        <v>1</v>
      </c>
      <c r="F104" s="10">
        <f t="shared" si="6"/>
        <v>0.1</v>
      </c>
    </row>
    <row r="105" spans="1:6" x14ac:dyDescent="0.3">
      <c r="A105" s="4" t="s">
        <v>7</v>
      </c>
      <c r="B105" s="43"/>
      <c r="C105" s="5">
        <v>0.1</v>
      </c>
      <c r="D105" s="4" t="s">
        <v>52</v>
      </c>
      <c r="E105" s="10">
        <f>4/5</f>
        <v>0.8</v>
      </c>
      <c r="F105" s="10">
        <f t="shared" si="6"/>
        <v>8.0000000000000016E-2</v>
      </c>
    </row>
    <row r="106" spans="1:6" x14ac:dyDescent="0.3">
      <c r="A106" s="4"/>
      <c r="B106" s="43"/>
      <c r="C106" s="5">
        <v>0.05</v>
      </c>
      <c r="D106" s="4" t="s">
        <v>61</v>
      </c>
      <c r="E106" s="10">
        <v>0</v>
      </c>
      <c r="F106" s="10">
        <f t="shared" si="6"/>
        <v>0</v>
      </c>
    </row>
    <row r="107" spans="1:6" x14ac:dyDescent="0.3">
      <c r="A107" s="4"/>
      <c r="B107" s="43"/>
      <c r="C107" s="5">
        <v>0.05</v>
      </c>
      <c r="D107" s="4" t="s">
        <v>62</v>
      </c>
      <c r="E107" s="10">
        <v>0</v>
      </c>
      <c r="F107" s="10">
        <f t="shared" si="6"/>
        <v>0</v>
      </c>
    </row>
    <row r="108" spans="1:6" x14ac:dyDescent="0.3">
      <c r="A108" s="4"/>
      <c r="B108" s="43"/>
      <c r="C108" s="5">
        <v>0.05</v>
      </c>
      <c r="D108" s="4" t="s">
        <v>63</v>
      </c>
      <c r="E108" s="10">
        <v>0</v>
      </c>
      <c r="F108" s="10">
        <f t="shared" si="6"/>
        <v>0</v>
      </c>
    </row>
    <row r="109" spans="1:6" x14ac:dyDescent="0.3">
      <c r="A109" s="4"/>
      <c r="B109" s="43"/>
      <c r="C109" s="5">
        <v>0.05</v>
      </c>
      <c r="D109" s="4" t="s">
        <v>64</v>
      </c>
      <c r="E109" s="10">
        <v>0</v>
      </c>
      <c r="F109" s="10">
        <f t="shared" si="6"/>
        <v>0</v>
      </c>
    </row>
    <row r="110" spans="1:6" x14ac:dyDescent="0.3">
      <c r="A110" s="4" t="s">
        <v>10</v>
      </c>
      <c r="B110" s="43"/>
      <c r="C110" s="5">
        <v>0.1</v>
      </c>
      <c r="D110" s="4" t="s">
        <v>53</v>
      </c>
      <c r="E110" s="10">
        <v>1</v>
      </c>
      <c r="F110" s="10">
        <f t="shared" si="6"/>
        <v>0.1</v>
      </c>
    </row>
    <row r="111" spans="1:6" x14ac:dyDescent="0.3">
      <c r="A111" s="4"/>
      <c r="B111" s="43"/>
      <c r="C111" s="5">
        <v>0.1</v>
      </c>
      <c r="D111" s="4" t="s">
        <v>54</v>
      </c>
      <c r="E111" s="10">
        <v>1</v>
      </c>
      <c r="F111" s="10">
        <f t="shared" si="6"/>
        <v>0.1</v>
      </c>
    </row>
    <row r="112" spans="1:6" x14ac:dyDescent="0.3">
      <c r="A112" s="4" t="s">
        <v>13</v>
      </c>
      <c r="B112" s="43"/>
      <c r="C112" s="5">
        <v>0.15</v>
      </c>
      <c r="D112" s="4" t="s">
        <v>15</v>
      </c>
      <c r="E112" s="10">
        <v>1</v>
      </c>
      <c r="F112" s="10">
        <f t="shared" si="6"/>
        <v>0.15</v>
      </c>
    </row>
    <row r="113" spans="1:6" x14ac:dyDescent="0.3">
      <c r="A113" s="4" t="s">
        <v>16</v>
      </c>
      <c r="B113" s="44"/>
      <c r="C113" s="5">
        <v>0.1</v>
      </c>
      <c r="D113" s="32" t="s">
        <v>40</v>
      </c>
      <c r="E113" s="10">
        <v>0</v>
      </c>
      <c r="F113" s="10">
        <f t="shared" si="6"/>
        <v>0</v>
      </c>
    </row>
    <row r="114" spans="1:6" x14ac:dyDescent="0.3">
      <c r="F114" s="6">
        <f>SUM(F103:F113)</f>
        <v>0.68</v>
      </c>
    </row>
    <row r="116" spans="1:6" x14ac:dyDescent="0.3">
      <c r="A116" t="s">
        <v>76</v>
      </c>
    </row>
    <row r="117" spans="1:6" ht="28.8" x14ac:dyDescent="0.3">
      <c r="A117" s="1" t="s">
        <v>0</v>
      </c>
      <c r="B117" s="1" t="s">
        <v>19</v>
      </c>
      <c r="C117" s="1" t="s">
        <v>2</v>
      </c>
      <c r="D117" s="1" t="s">
        <v>20</v>
      </c>
      <c r="E117" s="39" t="s">
        <v>48</v>
      </c>
      <c r="F117" s="36" t="s">
        <v>71</v>
      </c>
    </row>
    <row r="118" spans="1:6" x14ac:dyDescent="0.3">
      <c r="A118" s="4" t="s">
        <v>4</v>
      </c>
      <c r="B118" s="42" t="s">
        <v>31</v>
      </c>
      <c r="C118" s="5">
        <v>0.15</v>
      </c>
      <c r="D118" s="4" t="s">
        <v>50</v>
      </c>
      <c r="E118" s="10">
        <f>5/5</f>
        <v>1</v>
      </c>
      <c r="F118" s="10">
        <f t="shared" ref="F118:F128" si="7">E118*C118</f>
        <v>0.15</v>
      </c>
    </row>
    <row r="119" spans="1:6" x14ac:dyDescent="0.3">
      <c r="A119" s="4"/>
      <c r="B119" s="43"/>
      <c r="C119" s="5">
        <v>0.1</v>
      </c>
      <c r="D119" s="4" t="s">
        <v>51</v>
      </c>
      <c r="E119" s="10">
        <v>1</v>
      </c>
      <c r="F119" s="10">
        <f t="shared" si="7"/>
        <v>0.1</v>
      </c>
    </row>
    <row r="120" spans="1:6" x14ac:dyDescent="0.3">
      <c r="A120" s="4" t="s">
        <v>7</v>
      </c>
      <c r="B120" s="43"/>
      <c r="C120" s="5">
        <v>0.1</v>
      </c>
      <c r="D120" s="4" t="s">
        <v>52</v>
      </c>
      <c r="E120" s="10">
        <f>4/6</f>
        <v>0.66666666666666663</v>
      </c>
      <c r="F120" s="10">
        <f t="shared" si="7"/>
        <v>6.6666666666666666E-2</v>
      </c>
    </row>
    <row r="121" spans="1:6" x14ac:dyDescent="0.3">
      <c r="A121" s="4"/>
      <c r="B121" s="43"/>
      <c r="C121" s="5">
        <v>0.05</v>
      </c>
      <c r="D121" s="4" t="s">
        <v>61</v>
      </c>
      <c r="E121" s="40">
        <v>0.875</v>
      </c>
      <c r="F121" s="10">
        <f t="shared" si="7"/>
        <v>4.3750000000000004E-2</v>
      </c>
    </row>
    <row r="122" spans="1:6" x14ac:dyDescent="0.3">
      <c r="A122" s="4"/>
      <c r="B122" s="43"/>
      <c r="C122" s="5">
        <v>0.05</v>
      </c>
      <c r="D122" s="4" t="s">
        <v>62</v>
      </c>
      <c r="E122" s="10">
        <v>1</v>
      </c>
      <c r="F122" s="10">
        <f t="shared" si="7"/>
        <v>0.05</v>
      </c>
    </row>
    <row r="123" spans="1:6" x14ac:dyDescent="0.3">
      <c r="A123" s="4"/>
      <c r="B123" s="43"/>
      <c r="C123" s="5">
        <v>0.05</v>
      </c>
      <c r="D123" s="4" t="s">
        <v>63</v>
      </c>
      <c r="E123" s="10">
        <v>1</v>
      </c>
      <c r="F123" s="10">
        <f t="shared" si="7"/>
        <v>0.05</v>
      </c>
    </row>
    <row r="124" spans="1:6" x14ac:dyDescent="0.3">
      <c r="A124" s="4"/>
      <c r="B124" s="43"/>
      <c r="C124" s="5">
        <v>0.05</v>
      </c>
      <c r="D124" s="4" t="s">
        <v>64</v>
      </c>
      <c r="E124" s="10">
        <v>1</v>
      </c>
      <c r="F124" s="10">
        <f t="shared" si="7"/>
        <v>0.05</v>
      </c>
    </row>
    <row r="125" spans="1:6" x14ac:dyDescent="0.3">
      <c r="A125" s="4" t="s">
        <v>10</v>
      </c>
      <c r="B125" s="43"/>
      <c r="C125" s="5">
        <v>0.1</v>
      </c>
      <c r="D125" s="4" t="s">
        <v>53</v>
      </c>
      <c r="E125" s="10">
        <v>1</v>
      </c>
      <c r="F125" s="10">
        <f t="shared" si="7"/>
        <v>0.1</v>
      </c>
    </row>
    <row r="126" spans="1:6" x14ac:dyDescent="0.3">
      <c r="A126" s="4"/>
      <c r="B126" s="43"/>
      <c r="C126" s="5">
        <v>0.1</v>
      </c>
      <c r="D126" s="4" t="s">
        <v>54</v>
      </c>
      <c r="E126" s="10">
        <v>1</v>
      </c>
      <c r="F126" s="10">
        <f t="shared" si="7"/>
        <v>0.1</v>
      </c>
    </row>
    <row r="127" spans="1:6" x14ac:dyDescent="0.3">
      <c r="A127" s="4" t="s">
        <v>13</v>
      </c>
      <c r="B127" s="43"/>
      <c r="C127" s="5">
        <v>0.15</v>
      </c>
      <c r="D127" s="4" t="s">
        <v>15</v>
      </c>
      <c r="E127" s="10">
        <v>1</v>
      </c>
      <c r="F127" s="10">
        <f t="shared" si="7"/>
        <v>0.15</v>
      </c>
    </row>
    <row r="128" spans="1:6" x14ac:dyDescent="0.3">
      <c r="A128" s="4" t="s">
        <v>16</v>
      </c>
      <c r="B128" s="44"/>
      <c r="C128" s="5">
        <v>0.1</v>
      </c>
      <c r="D128" s="32" t="s">
        <v>77</v>
      </c>
      <c r="E128" s="10">
        <f>1/2</f>
        <v>0.5</v>
      </c>
      <c r="F128" s="10">
        <f t="shared" si="7"/>
        <v>0.05</v>
      </c>
    </row>
    <row r="129" spans="6:6" x14ac:dyDescent="0.3">
      <c r="F129" s="6">
        <f>SUM(F118:F128)</f>
        <v>0.91041666666666665</v>
      </c>
    </row>
  </sheetData>
  <mergeCells count="9">
    <mergeCell ref="B73:B83"/>
    <mergeCell ref="B88:B98"/>
    <mergeCell ref="B103:B113"/>
    <mergeCell ref="B118:B128"/>
    <mergeCell ref="B4:B10"/>
    <mergeCell ref="B28:B38"/>
    <mergeCell ref="B15:B23"/>
    <mergeCell ref="B43:B53"/>
    <mergeCell ref="B58:B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9E87-9FCF-424A-AE86-6FE02808A673}">
  <dimension ref="A2:H61"/>
  <sheetViews>
    <sheetView workbookViewId="0">
      <selection activeCell="D11" sqref="D11"/>
    </sheetView>
  </sheetViews>
  <sheetFormatPr defaultRowHeight="14.4" x14ac:dyDescent="0.3"/>
  <cols>
    <col min="1" max="1" width="36.5546875" customWidth="1"/>
    <col min="2" max="2" width="17.33203125" customWidth="1"/>
    <col min="3" max="3" width="17.6640625" customWidth="1"/>
    <col min="4" max="4" width="98" customWidth="1"/>
  </cols>
  <sheetData>
    <row r="2" spans="1:8" x14ac:dyDescent="0.3">
      <c r="A2" t="s">
        <v>78</v>
      </c>
    </row>
    <row r="3" spans="1:8" ht="28.8" x14ac:dyDescent="0.3">
      <c r="A3" s="1" t="s">
        <v>0</v>
      </c>
      <c r="B3" s="1" t="s">
        <v>19</v>
      </c>
      <c r="C3" s="1" t="s">
        <v>2</v>
      </c>
      <c r="D3" s="1" t="s">
        <v>20</v>
      </c>
      <c r="E3" s="39" t="s">
        <v>48</v>
      </c>
      <c r="F3" s="38" t="s">
        <v>49</v>
      </c>
      <c r="G3" s="41" t="s">
        <v>79</v>
      </c>
      <c r="H3" s="38" t="s">
        <v>49</v>
      </c>
    </row>
    <row r="4" spans="1:8" x14ac:dyDescent="0.3">
      <c r="A4" s="4" t="s">
        <v>4</v>
      </c>
      <c r="B4" s="42" t="s">
        <v>36</v>
      </c>
      <c r="C4" s="5">
        <v>0.3</v>
      </c>
      <c r="D4" s="4" t="s">
        <v>80</v>
      </c>
      <c r="E4" s="10"/>
      <c r="F4" s="9"/>
      <c r="G4" s="10"/>
      <c r="H4" s="9"/>
    </row>
    <row r="5" spans="1:8" x14ac:dyDescent="0.3">
      <c r="A5" s="4" t="s">
        <v>7</v>
      </c>
      <c r="B5" s="43"/>
      <c r="C5" s="5">
        <v>0.2</v>
      </c>
      <c r="D5" s="4" t="s">
        <v>39</v>
      </c>
      <c r="E5" s="10"/>
      <c r="F5" s="9"/>
      <c r="G5" s="10"/>
      <c r="H5" s="9"/>
    </row>
    <row r="6" spans="1:8" x14ac:dyDescent="0.3">
      <c r="A6" s="4" t="s">
        <v>10</v>
      </c>
      <c r="B6" s="43"/>
      <c r="C6" s="5">
        <v>0.2</v>
      </c>
      <c r="D6" s="4" t="s">
        <v>40</v>
      </c>
      <c r="E6" s="10"/>
      <c r="F6" s="9"/>
      <c r="G6" s="10"/>
      <c r="H6" s="9"/>
    </row>
    <row r="7" spans="1:8" x14ac:dyDescent="0.3">
      <c r="A7" s="4" t="s">
        <v>13</v>
      </c>
      <c r="B7" s="43"/>
      <c r="C7" s="5">
        <v>0.15</v>
      </c>
      <c r="D7" s="4" t="s">
        <v>15</v>
      </c>
      <c r="E7" s="10">
        <f>5/5</f>
        <v>1</v>
      </c>
      <c r="F7" s="9"/>
      <c r="G7" s="10">
        <f>4/5</f>
        <v>0.8</v>
      </c>
      <c r="H7" s="9"/>
    </row>
    <row r="8" spans="1:8" x14ac:dyDescent="0.3">
      <c r="A8" s="4" t="s">
        <v>16</v>
      </c>
      <c r="B8" s="44"/>
      <c r="C8" s="5">
        <v>0.15</v>
      </c>
      <c r="D8" s="4" t="s">
        <v>40</v>
      </c>
      <c r="E8" s="10"/>
      <c r="F8" s="9"/>
      <c r="G8" s="10"/>
      <c r="H8" s="9"/>
    </row>
    <row r="9" spans="1:8" x14ac:dyDescent="0.3">
      <c r="E9" s="6"/>
    </row>
    <row r="10" spans="1:8" x14ac:dyDescent="0.3">
      <c r="A10" t="s">
        <v>81</v>
      </c>
      <c r="E10" s="6"/>
    </row>
    <row r="11" spans="1:8" ht="28.8" x14ac:dyDescent="0.3">
      <c r="A11" s="1" t="s">
        <v>0</v>
      </c>
      <c r="B11" s="1" t="s">
        <v>19</v>
      </c>
      <c r="C11" s="1" t="s">
        <v>2</v>
      </c>
      <c r="D11" s="1" t="s">
        <v>20</v>
      </c>
      <c r="E11" s="41" t="s">
        <v>48</v>
      </c>
      <c r="F11" s="38" t="s">
        <v>49</v>
      </c>
      <c r="G11" s="41" t="s">
        <v>79</v>
      </c>
      <c r="H11" s="38" t="s">
        <v>49</v>
      </c>
    </row>
    <row r="12" spans="1:8" x14ac:dyDescent="0.3">
      <c r="A12" s="45" t="s">
        <v>4</v>
      </c>
      <c r="B12" s="42" t="s">
        <v>36</v>
      </c>
      <c r="C12" s="5">
        <v>0.3</v>
      </c>
      <c r="D12" s="4" t="s">
        <v>82</v>
      </c>
      <c r="E12" s="10"/>
      <c r="F12" s="9"/>
      <c r="G12" s="10"/>
      <c r="H12" s="9"/>
    </row>
    <row r="13" spans="1:8" x14ac:dyDescent="0.3">
      <c r="A13" s="47"/>
      <c r="B13" s="43"/>
      <c r="C13" s="5"/>
      <c r="D13" s="4" t="s">
        <v>83</v>
      </c>
      <c r="E13" s="10"/>
      <c r="F13" s="9"/>
      <c r="G13" s="10"/>
      <c r="H13" s="9"/>
    </row>
    <row r="14" spans="1:8" x14ac:dyDescent="0.3">
      <c r="A14" s="4" t="s">
        <v>7</v>
      </c>
      <c r="B14" s="43"/>
      <c r="C14" s="5">
        <v>0.2</v>
      </c>
      <c r="D14" s="4"/>
      <c r="E14" s="10"/>
      <c r="F14" s="9"/>
      <c r="G14" s="10"/>
      <c r="H14" s="9"/>
    </row>
    <row r="15" spans="1:8" x14ac:dyDescent="0.3">
      <c r="A15" s="4" t="s">
        <v>10</v>
      </c>
      <c r="B15" s="43"/>
      <c r="C15" s="5">
        <v>0.2</v>
      </c>
      <c r="D15" s="4" t="s">
        <v>40</v>
      </c>
      <c r="E15" s="10"/>
      <c r="F15" s="9"/>
      <c r="G15" s="10"/>
      <c r="H15" s="9"/>
    </row>
    <row r="16" spans="1:8" x14ac:dyDescent="0.3">
      <c r="A16" s="4" t="s">
        <v>13</v>
      </c>
      <c r="B16" s="43"/>
      <c r="C16" s="5">
        <v>0.15</v>
      </c>
      <c r="D16" s="4" t="s">
        <v>15</v>
      </c>
      <c r="E16" s="10">
        <f>5/5</f>
        <v>1</v>
      </c>
      <c r="F16" s="9"/>
      <c r="G16" s="10">
        <f>4/5</f>
        <v>0.8</v>
      </c>
      <c r="H16" s="9"/>
    </row>
    <row r="17" spans="1:8" x14ac:dyDescent="0.3">
      <c r="A17" s="4" t="s">
        <v>16</v>
      </c>
      <c r="B17" s="44"/>
      <c r="C17" s="5">
        <v>0.15</v>
      </c>
      <c r="D17" s="4" t="s">
        <v>40</v>
      </c>
      <c r="E17" s="10"/>
      <c r="F17" s="9"/>
      <c r="G17" s="10"/>
      <c r="H17" s="9"/>
    </row>
    <row r="18" spans="1:8" x14ac:dyDescent="0.3">
      <c r="E18" s="6"/>
    </row>
    <row r="19" spans="1:8" x14ac:dyDescent="0.3">
      <c r="A19" t="s">
        <v>84</v>
      </c>
      <c r="E19" s="6"/>
    </row>
    <row r="20" spans="1:8" ht="28.8" x14ac:dyDescent="0.3">
      <c r="A20" s="1" t="s">
        <v>0</v>
      </c>
      <c r="B20" s="1" t="s">
        <v>19</v>
      </c>
      <c r="C20" s="1" t="s">
        <v>2</v>
      </c>
      <c r="D20" s="1" t="s">
        <v>20</v>
      </c>
      <c r="E20" s="41" t="s">
        <v>48</v>
      </c>
      <c r="F20" s="38" t="s">
        <v>49</v>
      </c>
      <c r="G20" s="41" t="s">
        <v>79</v>
      </c>
      <c r="H20" s="38" t="s">
        <v>49</v>
      </c>
    </row>
    <row r="21" spans="1:8" x14ac:dyDescent="0.3">
      <c r="A21" s="45" t="s">
        <v>4</v>
      </c>
      <c r="B21" s="42" t="s">
        <v>36</v>
      </c>
      <c r="C21" s="5">
        <v>0.3</v>
      </c>
      <c r="D21" s="4" t="s">
        <v>85</v>
      </c>
      <c r="E21" s="10"/>
      <c r="F21" s="9"/>
      <c r="G21" s="10"/>
      <c r="H21" s="9"/>
    </row>
    <row r="22" spans="1:8" x14ac:dyDescent="0.3">
      <c r="A22" s="46"/>
      <c r="B22" s="43"/>
      <c r="C22" s="5"/>
      <c r="D22" s="4" t="s">
        <v>86</v>
      </c>
      <c r="E22" s="10"/>
      <c r="F22" s="9"/>
      <c r="G22" s="10"/>
      <c r="H22" s="9"/>
    </row>
    <row r="23" spans="1:8" x14ac:dyDescent="0.3">
      <c r="A23" s="47"/>
      <c r="B23" s="43"/>
      <c r="C23" s="5"/>
      <c r="D23" s="4"/>
      <c r="E23" s="10"/>
      <c r="F23" s="9"/>
      <c r="G23" s="10"/>
      <c r="H23" s="9"/>
    </row>
    <row r="24" spans="1:8" x14ac:dyDescent="0.3">
      <c r="A24" s="4" t="s">
        <v>7</v>
      </c>
      <c r="B24" s="43"/>
      <c r="C24" s="5">
        <v>0.2</v>
      </c>
      <c r="D24" s="4"/>
      <c r="E24" s="10"/>
      <c r="F24" s="9"/>
      <c r="G24" s="10"/>
      <c r="H24" s="9"/>
    </row>
    <row r="25" spans="1:8" x14ac:dyDescent="0.3">
      <c r="A25" s="4" t="s">
        <v>10</v>
      </c>
      <c r="B25" s="43"/>
      <c r="C25" s="5">
        <v>0.2</v>
      </c>
      <c r="D25" s="4" t="s">
        <v>40</v>
      </c>
      <c r="E25" s="10"/>
      <c r="F25" s="9"/>
      <c r="G25" s="10"/>
      <c r="H25" s="9"/>
    </row>
    <row r="26" spans="1:8" x14ac:dyDescent="0.3">
      <c r="A26" s="4" t="s">
        <v>13</v>
      </c>
      <c r="B26" s="43"/>
      <c r="C26" s="5">
        <v>0.15</v>
      </c>
      <c r="D26" s="4" t="s">
        <v>15</v>
      </c>
      <c r="E26" s="10">
        <f>5/5</f>
        <v>1</v>
      </c>
      <c r="F26" s="9"/>
      <c r="G26" s="10">
        <f>5/5</f>
        <v>1</v>
      </c>
      <c r="H26" s="9"/>
    </row>
    <row r="27" spans="1:8" x14ac:dyDescent="0.3">
      <c r="A27" s="4" t="s">
        <v>16</v>
      </c>
      <c r="B27" s="44"/>
      <c r="C27" s="5">
        <v>0.15</v>
      </c>
      <c r="D27" s="4" t="s">
        <v>40</v>
      </c>
      <c r="E27" s="10"/>
      <c r="F27" s="9"/>
      <c r="G27" s="10"/>
      <c r="H27" s="9"/>
    </row>
    <row r="28" spans="1:8" x14ac:dyDescent="0.3">
      <c r="E28" s="6"/>
    </row>
    <row r="29" spans="1:8" x14ac:dyDescent="0.3">
      <c r="A29" t="s">
        <v>87</v>
      </c>
      <c r="E29" s="6"/>
    </row>
    <row r="30" spans="1:8" ht="28.8" x14ac:dyDescent="0.3">
      <c r="A30" s="1" t="s">
        <v>0</v>
      </c>
      <c r="B30" s="1" t="s">
        <v>19</v>
      </c>
      <c r="C30" s="1" t="s">
        <v>2</v>
      </c>
      <c r="D30" s="1" t="s">
        <v>20</v>
      </c>
      <c r="E30" s="41" t="s">
        <v>48</v>
      </c>
      <c r="F30" s="38" t="s">
        <v>49</v>
      </c>
      <c r="G30" s="41" t="s">
        <v>79</v>
      </c>
      <c r="H30" s="38" t="s">
        <v>49</v>
      </c>
    </row>
    <row r="31" spans="1:8" x14ac:dyDescent="0.3">
      <c r="A31" s="4" t="s">
        <v>4</v>
      </c>
      <c r="B31" s="42" t="s">
        <v>36</v>
      </c>
      <c r="C31" s="5">
        <v>0.3</v>
      </c>
      <c r="D31" s="4" t="s">
        <v>37</v>
      </c>
      <c r="E31" s="10"/>
      <c r="F31" s="9"/>
      <c r="G31" s="10"/>
      <c r="H31" s="9"/>
    </row>
    <row r="32" spans="1:8" x14ac:dyDescent="0.3">
      <c r="A32" s="4" t="s">
        <v>7</v>
      </c>
      <c r="B32" s="43"/>
      <c r="C32" s="5">
        <v>0.2</v>
      </c>
      <c r="D32" s="4" t="s">
        <v>39</v>
      </c>
      <c r="E32" s="10"/>
      <c r="F32" s="9"/>
      <c r="G32" s="10"/>
      <c r="H32" s="9"/>
    </row>
    <row r="33" spans="1:8" x14ac:dyDescent="0.3">
      <c r="A33" s="45" t="s">
        <v>10</v>
      </c>
      <c r="B33" s="43"/>
      <c r="C33" s="5">
        <v>0.2</v>
      </c>
      <c r="D33" s="4" t="s">
        <v>88</v>
      </c>
      <c r="E33" s="10"/>
      <c r="F33" s="9"/>
      <c r="G33" s="10"/>
      <c r="H33" s="9"/>
    </row>
    <row r="34" spans="1:8" x14ac:dyDescent="0.3">
      <c r="A34" s="46"/>
      <c r="B34" s="43"/>
      <c r="C34" s="5"/>
      <c r="D34" s="4" t="s">
        <v>89</v>
      </c>
      <c r="E34" s="10"/>
      <c r="F34" s="9"/>
      <c r="G34" s="10"/>
      <c r="H34" s="9"/>
    </row>
    <row r="35" spans="1:8" x14ac:dyDescent="0.3">
      <c r="A35" s="46"/>
      <c r="B35" s="43"/>
      <c r="C35" s="5"/>
      <c r="D35" s="4" t="s">
        <v>90</v>
      </c>
      <c r="E35" s="10"/>
      <c r="F35" s="9"/>
      <c r="G35" s="10"/>
      <c r="H35" s="9"/>
    </row>
    <row r="36" spans="1:8" x14ac:dyDescent="0.3">
      <c r="A36" s="47"/>
      <c r="B36" s="43"/>
      <c r="C36" s="5"/>
      <c r="D36" s="4" t="s">
        <v>91</v>
      </c>
      <c r="E36" s="10"/>
      <c r="F36" s="9"/>
      <c r="G36" s="10"/>
      <c r="H36" s="9"/>
    </row>
    <row r="37" spans="1:8" x14ac:dyDescent="0.3">
      <c r="A37" s="4" t="s">
        <v>13</v>
      </c>
      <c r="B37" s="43"/>
      <c r="C37" s="5">
        <v>0.15</v>
      </c>
      <c r="D37" s="4" t="s">
        <v>15</v>
      </c>
      <c r="E37" s="10">
        <f>5/5</f>
        <v>1</v>
      </c>
      <c r="F37" s="9"/>
      <c r="G37" s="10">
        <f>4/5</f>
        <v>0.8</v>
      </c>
      <c r="H37" s="9"/>
    </row>
    <row r="38" spans="1:8" x14ac:dyDescent="0.3">
      <c r="A38" s="4" t="s">
        <v>16</v>
      </c>
      <c r="B38" s="44"/>
      <c r="C38" s="5">
        <v>0.15</v>
      </c>
      <c r="D38" s="4" t="s">
        <v>40</v>
      </c>
      <c r="E38" s="10"/>
      <c r="F38" s="9"/>
      <c r="G38" s="10"/>
      <c r="H38" s="9"/>
    </row>
    <row r="39" spans="1:8" x14ac:dyDescent="0.3">
      <c r="E39" s="6"/>
    </row>
    <row r="40" spans="1:8" x14ac:dyDescent="0.3">
      <c r="A40" t="s">
        <v>92</v>
      </c>
      <c r="E40" s="6"/>
    </row>
    <row r="41" spans="1:8" ht="28.8" x14ac:dyDescent="0.3">
      <c r="A41" s="1" t="s">
        <v>0</v>
      </c>
      <c r="B41" s="1" t="s">
        <v>19</v>
      </c>
      <c r="C41" s="1" t="s">
        <v>2</v>
      </c>
      <c r="D41" s="1" t="s">
        <v>20</v>
      </c>
      <c r="E41" s="41" t="s">
        <v>48</v>
      </c>
      <c r="F41" s="38" t="s">
        <v>49</v>
      </c>
      <c r="G41" s="41" t="s">
        <v>79</v>
      </c>
      <c r="H41" s="38" t="s">
        <v>49</v>
      </c>
    </row>
    <row r="42" spans="1:8" x14ac:dyDescent="0.3">
      <c r="A42" s="4" t="s">
        <v>4</v>
      </c>
      <c r="B42" s="42" t="s">
        <v>36</v>
      </c>
      <c r="C42" s="5">
        <v>0.3</v>
      </c>
      <c r="D42" s="34" t="s">
        <v>37</v>
      </c>
      <c r="E42" s="10"/>
      <c r="F42" s="9"/>
      <c r="G42" s="10"/>
      <c r="H42" s="9"/>
    </row>
    <row r="43" spans="1:8" x14ac:dyDescent="0.3">
      <c r="A43" s="45" t="s">
        <v>7</v>
      </c>
      <c r="B43" s="43"/>
      <c r="C43" s="5">
        <v>0.2</v>
      </c>
      <c r="D43" s="34" t="s">
        <v>88</v>
      </c>
      <c r="E43" s="10"/>
      <c r="F43" s="9"/>
      <c r="G43" s="10"/>
      <c r="H43" s="9"/>
    </row>
    <row r="44" spans="1:8" x14ac:dyDescent="0.3">
      <c r="A44" s="46"/>
      <c r="B44" s="43"/>
      <c r="C44" s="5"/>
      <c r="D44" s="34" t="s">
        <v>89</v>
      </c>
      <c r="E44" s="10"/>
      <c r="F44" s="9"/>
      <c r="G44" s="10"/>
      <c r="H44" s="9"/>
    </row>
    <row r="45" spans="1:8" x14ac:dyDescent="0.3">
      <c r="A45" s="46"/>
      <c r="B45" s="43"/>
      <c r="C45" s="5"/>
      <c r="D45" s="34" t="s">
        <v>90</v>
      </c>
      <c r="E45" s="10"/>
      <c r="F45" s="9"/>
      <c r="G45" s="10"/>
      <c r="H45" s="9"/>
    </row>
    <row r="46" spans="1:8" x14ac:dyDescent="0.3">
      <c r="A46" s="47"/>
      <c r="B46" s="43"/>
      <c r="C46" s="5"/>
      <c r="D46" s="34" t="s">
        <v>91</v>
      </c>
      <c r="E46" s="10"/>
      <c r="F46" s="9"/>
      <c r="G46" s="10"/>
      <c r="H46" s="9"/>
    </row>
    <row r="47" spans="1:8" x14ac:dyDescent="0.3">
      <c r="A47" s="4" t="s">
        <v>10</v>
      </c>
      <c r="B47" s="43"/>
      <c r="C47" s="5">
        <v>0.2</v>
      </c>
      <c r="D47" s="34" t="s">
        <v>40</v>
      </c>
      <c r="E47" s="10"/>
      <c r="F47" s="9"/>
      <c r="G47" s="10"/>
      <c r="H47" s="9"/>
    </row>
    <row r="48" spans="1:8" x14ac:dyDescent="0.3">
      <c r="A48" s="4" t="s">
        <v>13</v>
      </c>
      <c r="B48" s="43"/>
      <c r="C48" s="5">
        <v>0.15</v>
      </c>
      <c r="D48" s="34" t="s">
        <v>15</v>
      </c>
      <c r="E48" s="10">
        <f>1/5</f>
        <v>0.2</v>
      </c>
      <c r="F48" s="9"/>
      <c r="G48" s="10">
        <f>5/5</f>
        <v>1</v>
      </c>
      <c r="H48" s="9"/>
    </row>
    <row r="49" spans="1:8" x14ac:dyDescent="0.3">
      <c r="A49" s="4" t="s">
        <v>16</v>
      </c>
      <c r="B49" s="44"/>
      <c r="C49" s="5">
        <v>0.15</v>
      </c>
      <c r="D49" s="34" t="s">
        <v>40</v>
      </c>
      <c r="E49" s="10"/>
      <c r="F49" s="9"/>
      <c r="G49" s="10"/>
      <c r="H49" s="9"/>
    </row>
    <row r="50" spans="1:8" x14ac:dyDescent="0.3">
      <c r="E50" s="6"/>
    </row>
    <row r="51" spans="1:8" x14ac:dyDescent="0.3">
      <c r="A51" t="s">
        <v>93</v>
      </c>
      <c r="E51" s="6"/>
    </row>
    <row r="52" spans="1:8" ht="28.8" x14ac:dyDescent="0.3">
      <c r="A52" s="1" t="s">
        <v>0</v>
      </c>
      <c r="B52" s="1" t="s">
        <v>19</v>
      </c>
      <c r="C52" s="1" t="s">
        <v>2</v>
      </c>
      <c r="D52" s="1" t="s">
        <v>20</v>
      </c>
      <c r="E52" s="41" t="s">
        <v>48</v>
      </c>
      <c r="F52" s="38" t="s">
        <v>49</v>
      </c>
      <c r="G52" s="41" t="s">
        <v>79</v>
      </c>
      <c r="H52" s="38" t="s">
        <v>49</v>
      </c>
    </row>
    <row r="53" spans="1:8" x14ac:dyDescent="0.3">
      <c r="A53" s="4" t="s">
        <v>4</v>
      </c>
      <c r="B53" s="42" t="s">
        <v>36</v>
      </c>
      <c r="C53" s="5">
        <v>0.3</v>
      </c>
      <c r="D53" s="34" t="s">
        <v>37</v>
      </c>
      <c r="E53" s="10"/>
      <c r="F53" s="9"/>
      <c r="G53" s="10"/>
      <c r="H53" s="9"/>
    </row>
    <row r="54" spans="1:8" x14ac:dyDescent="0.3">
      <c r="A54" s="45" t="s">
        <v>7</v>
      </c>
      <c r="B54" s="43"/>
      <c r="C54" s="5">
        <v>0.2</v>
      </c>
      <c r="D54" s="34" t="s">
        <v>88</v>
      </c>
      <c r="E54" s="10"/>
      <c r="F54" s="9"/>
      <c r="G54" s="10"/>
      <c r="H54" s="9"/>
    </row>
    <row r="55" spans="1:8" x14ac:dyDescent="0.3">
      <c r="A55" s="46"/>
      <c r="B55" s="43"/>
      <c r="C55" s="5"/>
      <c r="D55" s="34" t="s">
        <v>89</v>
      </c>
      <c r="E55" s="10"/>
      <c r="F55" s="9"/>
      <c r="G55" s="10"/>
      <c r="H55" s="9"/>
    </row>
    <row r="56" spans="1:8" x14ac:dyDescent="0.3">
      <c r="A56" s="46"/>
      <c r="B56" s="43"/>
      <c r="C56" s="5"/>
      <c r="D56" s="34" t="s">
        <v>90</v>
      </c>
      <c r="E56" s="10"/>
      <c r="F56" s="9"/>
      <c r="G56" s="10"/>
      <c r="H56" s="9"/>
    </row>
    <row r="57" spans="1:8" x14ac:dyDescent="0.3">
      <c r="A57" s="47"/>
      <c r="B57" s="43"/>
      <c r="C57" s="5"/>
      <c r="D57" s="34" t="s">
        <v>91</v>
      </c>
      <c r="E57" s="10"/>
      <c r="F57" s="9"/>
      <c r="G57" s="10"/>
      <c r="H57" s="9"/>
    </row>
    <row r="58" spans="1:8" x14ac:dyDescent="0.3">
      <c r="A58" s="4" t="s">
        <v>10</v>
      </c>
      <c r="B58" s="43"/>
      <c r="C58" s="5">
        <v>0.2</v>
      </c>
      <c r="D58" s="34" t="s">
        <v>40</v>
      </c>
      <c r="E58" s="10"/>
      <c r="F58" s="9"/>
      <c r="G58" s="10"/>
      <c r="H58" s="9"/>
    </row>
    <row r="59" spans="1:8" x14ac:dyDescent="0.3">
      <c r="A59" s="4" t="s">
        <v>13</v>
      </c>
      <c r="B59" s="43"/>
      <c r="C59" s="5">
        <v>0.15</v>
      </c>
      <c r="D59" s="34" t="s">
        <v>15</v>
      </c>
      <c r="E59" s="10">
        <f>4/5</f>
        <v>0.8</v>
      </c>
      <c r="F59" s="9"/>
      <c r="G59" s="10">
        <f>4/5</f>
        <v>0.8</v>
      </c>
      <c r="H59" s="9"/>
    </row>
    <row r="60" spans="1:8" x14ac:dyDescent="0.3">
      <c r="A60" s="4" t="s">
        <v>16</v>
      </c>
      <c r="B60" s="44"/>
      <c r="C60" s="5">
        <v>0.15</v>
      </c>
      <c r="D60" s="34" t="s">
        <v>40</v>
      </c>
      <c r="E60" s="10"/>
      <c r="F60" s="9"/>
      <c r="G60" s="10"/>
      <c r="H60" s="9"/>
    </row>
    <row r="61" spans="1:8" x14ac:dyDescent="0.3">
      <c r="E61" s="6"/>
    </row>
  </sheetData>
  <mergeCells count="11">
    <mergeCell ref="B4:B8"/>
    <mergeCell ref="B12:B17"/>
    <mergeCell ref="B21:B27"/>
    <mergeCell ref="B31:B38"/>
    <mergeCell ref="B42:B49"/>
    <mergeCell ref="B53:B60"/>
    <mergeCell ref="A21:A23"/>
    <mergeCell ref="A12:A13"/>
    <mergeCell ref="A33:A36"/>
    <mergeCell ref="A43:A46"/>
    <mergeCell ref="A54:A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E42F-0D55-422B-B617-0123703386FD}">
  <dimension ref="B2:AE18"/>
  <sheetViews>
    <sheetView showGridLines="0" tabSelected="1" workbookViewId="0">
      <selection activeCell="E27" sqref="E27"/>
    </sheetView>
  </sheetViews>
  <sheetFormatPr defaultRowHeight="14.4" x14ac:dyDescent="0.3"/>
  <cols>
    <col min="1" max="1" width="1.33203125" customWidth="1"/>
    <col min="2" max="2" width="14.109375" customWidth="1"/>
    <col min="3" max="3" width="23.5546875" bestFit="1" customWidth="1"/>
    <col min="4" max="4" width="25.6640625" bestFit="1" customWidth="1"/>
    <col min="5" max="5" width="10.6640625" style="14" customWidth="1"/>
    <col min="6" max="6" width="5.44140625" hidden="1" customWidth="1"/>
    <col min="7" max="7" width="6" hidden="1" customWidth="1"/>
    <col min="8" max="8" width="5.44140625" hidden="1" customWidth="1"/>
    <col min="9" max="9" width="6" hidden="1" customWidth="1"/>
    <col min="10" max="10" width="5.44140625" hidden="1" customWidth="1"/>
    <col min="11" max="11" width="6" hidden="1" customWidth="1"/>
    <col min="12" max="12" width="5.44140625" hidden="1" customWidth="1"/>
    <col min="13" max="13" width="6" hidden="1" customWidth="1"/>
    <col min="14" max="14" width="5.44140625" hidden="1" customWidth="1"/>
    <col min="15" max="15" width="6" hidden="1" customWidth="1"/>
    <col min="16" max="16" width="5.44140625" bestFit="1" customWidth="1"/>
    <col min="17" max="17" width="6" bestFit="1" customWidth="1"/>
    <col min="18" max="18" width="5.44140625" bestFit="1" customWidth="1"/>
    <col min="19" max="19" width="6" bestFit="1" customWidth="1"/>
    <col min="20" max="20" width="5.44140625" bestFit="1" customWidth="1"/>
    <col min="21" max="21" width="6" bestFit="1" customWidth="1"/>
    <col min="22" max="22" width="5.44140625" bestFit="1" customWidth="1"/>
    <col min="23" max="23" width="6" bestFit="1" customWidth="1"/>
    <col min="24" max="24" width="5.44140625" bestFit="1" customWidth="1"/>
    <col min="25" max="25" width="6" bestFit="1" customWidth="1"/>
    <col min="26" max="26" width="5.44140625" bestFit="1" customWidth="1"/>
    <col min="27" max="27" width="6" bestFit="1" customWidth="1"/>
    <col min="28" max="28" width="5.44140625" bestFit="1" customWidth="1"/>
    <col min="29" max="29" width="6" bestFit="1" customWidth="1"/>
    <col min="30" max="30" width="5.44140625" bestFit="1" customWidth="1"/>
    <col min="31" max="31" width="6" bestFit="1" customWidth="1"/>
  </cols>
  <sheetData>
    <row r="2" spans="2:31" x14ac:dyDescent="0.3">
      <c r="F2" s="51" t="s">
        <v>94</v>
      </c>
      <c r="G2" s="51"/>
      <c r="H2" s="51" t="s">
        <v>95</v>
      </c>
      <c r="I2" s="51"/>
      <c r="J2" s="51" t="s">
        <v>96</v>
      </c>
      <c r="K2" s="51"/>
      <c r="L2" s="51" t="s">
        <v>97</v>
      </c>
      <c r="M2" s="51"/>
      <c r="N2" s="51" t="s">
        <v>98</v>
      </c>
      <c r="O2" s="51"/>
      <c r="P2" s="51" t="s">
        <v>99</v>
      </c>
      <c r="Q2" s="51"/>
      <c r="R2" s="51" t="s">
        <v>100</v>
      </c>
      <c r="S2" s="51"/>
      <c r="T2" s="51" t="s">
        <v>101</v>
      </c>
      <c r="U2" s="51"/>
      <c r="V2" s="51" t="s">
        <v>102</v>
      </c>
      <c r="W2" s="51"/>
      <c r="X2" s="51" t="s">
        <v>103</v>
      </c>
      <c r="Y2" s="51"/>
      <c r="Z2" s="51" t="s">
        <v>104</v>
      </c>
      <c r="AA2" s="51"/>
      <c r="AB2" s="51" t="s">
        <v>105</v>
      </c>
      <c r="AC2" s="51"/>
      <c r="AD2" s="51" t="s">
        <v>106</v>
      </c>
      <c r="AE2" s="51"/>
    </row>
    <row r="3" spans="2:31" x14ac:dyDescent="0.3">
      <c r="B3" s="11" t="s">
        <v>19</v>
      </c>
      <c r="C3" s="11" t="s">
        <v>107</v>
      </c>
      <c r="D3" s="11" t="s">
        <v>108</v>
      </c>
      <c r="E3" s="11" t="s">
        <v>109</v>
      </c>
      <c r="F3" s="12" t="s">
        <v>110</v>
      </c>
      <c r="G3" s="11" t="s">
        <v>49</v>
      </c>
      <c r="H3" s="11" t="s">
        <v>110</v>
      </c>
      <c r="I3" s="11" t="s">
        <v>49</v>
      </c>
      <c r="J3" s="11" t="s">
        <v>110</v>
      </c>
      <c r="K3" s="11" t="s">
        <v>49</v>
      </c>
      <c r="L3" s="11" t="s">
        <v>110</v>
      </c>
      <c r="M3" s="11" t="s">
        <v>49</v>
      </c>
      <c r="N3" s="11" t="s">
        <v>110</v>
      </c>
      <c r="O3" s="11" t="s">
        <v>49</v>
      </c>
      <c r="P3" s="11" t="s">
        <v>110</v>
      </c>
      <c r="Q3" s="11" t="s">
        <v>49</v>
      </c>
      <c r="R3" s="11" t="s">
        <v>110</v>
      </c>
      <c r="S3" s="11" t="s">
        <v>49</v>
      </c>
      <c r="T3" s="11" t="s">
        <v>110</v>
      </c>
      <c r="U3" s="11" t="s">
        <v>49</v>
      </c>
      <c r="V3" s="11" t="s">
        <v>110</v>
      </c>
      <c r="W3" s="11" t="s">
        <v>49</v>
      </c>
      <c r="X3" s="11" t="s">
        <v>110</v>
      </c>
      <c r="Y3" s="11" t="s">
        <v>49</v>
      </c>
      <c r="Z3" s="11" t="s">
        <v>110</v>
      </c>
      <c r="AA3" s="11" t="s">
        <v>49</v>
      </c>
      <c r="AB3" s="11" t="s">
        <v>110</v>
      </c>
      <c r="AC3" s="11" t="s">
        <v>49</v>
      </c>
      <c r="AD3" s="11" t="s">
        <v>110</v>
      </c>
      <c r="AE3" s="11" t="s">
        <v>49</v>
      </c>
    </row>
    <row r="4" spans="2:31" x14ac:dyDescent="0.3">
      <c r="B4" s="7" t="s">
        <v>31</v>
      </c>
      <c r="C4" s="7" t="s">
        <v>111</v>
      </c>
      <c r="D4" s="13" t="s">
        <v>112</v>
      </c>
      <c r="E4" s="7" t="s">
        <v>113</v>
      </c>
      <c r="F4" s="7"/>
      <c r="G4" s="8"/>
      <c r="H4" s="8"/>
      <c r="I4" s="9"/>
      <c r="J4" s="9"/>
      <c r="K4" s="9"/>
      <c r="L4" s="9"/>
      <c r="M4" s="9"/>
      <c r="N4" s="9"/>
      <c r="O4" s="9"/>
      <c r="P4" s="9"/>
      <c r="Q4" s="9">
        <v>93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2:31" x14ac:dyDescent="0.3">
      <c r="B5" s="7" t="s">
        <v>31</v>
      </c>
      <c r="C5" s="7" t="s">
        <v>111</v>
      </c>
      <c r="D5" s="13" t="s">
        <v>114</v>
      </c>
      <c r="E5" s="7" t="s">
        <v>115</v>
      </c>
      <c r="F5" s="7"/>
      <c r="G5" s="8"/>
      <c r="H5" s="8"/>
      <c r="I5" s="9"/>
      <c r="J5" s="9"/>
      <c r="K5" s="9"/>
      <c r="L5" s="9"/>
      <c r="M5" s="9"/>
      <c r="N5" s="9"/>
      <c r="O5" s="9"/>
      <c r="P5" s="9"/>
      <c r="Q5" s="9">
        <v>93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2:31" x14ac:dyDescent="0.3">
      <c r="B6" s="7" t="s">
        <v>31</v>
      </c>
      <c r="C6" s="7" t="s">
        <v>111</v>
      </c>
      <c r="D6" s="13" t="s">
        <v>116</v>
      </c>
      <c r="E6" s="7" t="s">
        <v>115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>
        <v>89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2:31" x14ac:dyDescent="0.3">
      <c r="B7" s="7" t="s">
        <v>31</v>
      </c>
      <c r="C7" s="7" t="s">
        <v>111</v>
      </c>
      <c r="D7" s="13" t="s">
        <v>117</v>
      </c>
      <c r="E7" s="7" t="s">
        <v>118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>
        <v>65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2:31" x14ac:dyDescent="0.3">
      <c r="B8" s="7" t="s">
        <v>31</v>
      </c>
      <c r="C8" s="7" t="s">
        <v>111</v>
      </c>
      <c r="D8" t="s">
        <v>119</v>
      </c>
      <c r="E8" s="7">
        <v>40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63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2:31" x14ac:dyDescent="0.3">
      <c r="B9" s="7" t="s">
        <v>31</v>
      </c>
      <c r="C9" s="7" t="s">
        <v>111</v>
      </c>
      <c r="D9" s="13" t="s">
        <v>120</v>
      </c>
      <c r="E9" s="7" t="s">
        <v>121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>
        <v>91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2:31" x14ac:dyDescent="0.3">
      <c r="B10" s="7" t="s">
        <v>31</v>
      </c>
      <c r="C10" s="7" t="s">
        <v>111</v>
      </c>
      <c r="D10" s="13" t="s">
        <v>122</v>
      </c>
      <c r="E10" s="7" t="s">
        <v>113</v>
      </c>
      <c r="F10" s="9"/>
      <c r="G10" s="10"/>
      <c r="H10" s="9"/>
      <c r="I10" s="9"/>
      <c r="J10" s="9"/>
      <c r="K10" s="9"/>
      <c r="L10" s="9"/>
      <c r="M10" s="9"/>
      <c r="N10" s="9"/>
      <c r="O10" s="9"/>
      <c r="P10" s="9"/>
      <c r="Q10" s="9">
        <v>86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2:31" x14ac:dyDescent="0.3">
      <c r="B11" s="7" t="s">
        <v>31</v>
      </c>
      <c r="C11" s="7" t="s">
        <v>111</v>
      </c>
      <c r="D11" s="13" t="s">
        <v>123</v>
      </c>
      <c r="E11" s="7" t="s">
        <v>118</v>
      </c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9">
        <v>92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2:31" x14ac:dyDescent="0.3">
      <c r="B12" s="7" t="s">
        <v>31</v>
      </c>
      <c r="C12" s="7" t="s">
        <v>111</v>
      </c>
      <c r="D12" s="13" t="s">
        <v>124</v>
      </c>
      <c r="E12" s="7" t="s">
        <v>113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>
        <v>91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2:31" x14ac:dyDescent="0.3">
      <c r="B13" s="7" t="s">
        <v>36</v>
      </c>
      <c r="C13" s="7" t="s">
        <v>125</v>
      </c>
      <c r="D13" s="9" t="s">
        <v>126</v>
      </c>
      <c r="E13" s="7" t="s">
        <v>121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2:31" x14ac:dyDescent="0.3">
      <c r="B14" s="7" t="s">
        <v>36</v>
      </c>
      <c r="C14" s="7" t="s">
        <v>125</v>
      </c>
      <c r="D14" s="9" t="s">
        <v>127</v>
      </c>
      <c r="E14" s="7" t="s">
        <v>113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2:31" x14ac:dyDescent="0.3">
      <c r="B15" s="7" t="s">
        <v>36</v>
      </c>
      <c r="C15" s="7" t="s">
        <v>125</v>
      </c>
      <c r="D15" s="9" t="s">
        <v>128</v>
      </c>
      <c r="E15" s="7" t="s">
        <v>118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2:31" x14ac:dyDescent="0.3">
      <c r="B16" s="7" t="s">
        <v>36</v>
      </c>
      <c r="C16" s="7" t="s">
        <v>125</v>
      </c>
      <c r="D16" s="9" t="s">
        <v>129</v>
      </c>
      <c r="E16" s="7" t="s">
        <v>113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2:31" x14ac:dyDescent="0.3">
      <c r="B17" s="7" t="s">
        <v>36</v>
      </c>
      <c r="C17" s="7" t="s">
        <v>125</v>
      </c>
      <c r="D17" s="9" t="s">
        <v>130</v>
      </c>
      <c r="E17" s="7" t="s">
        <v>113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2:31" x14ac:dyDescent="0.3">
      <c r="B18" s="7" t="s">
        <v>36</v>
      </c>
      <c r="C18" s="7" t="s">
        <v>125</v>
      </c>
      <c r="D18" s="9" t="s">
        <v>131</v>
      </c>
      <c r="E18" s="7" t="s">
        <v>113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</sheetData>
  <mergeCells count="13">
    <mergeCell ref="AD2:AE2"/>
    <mergeCell ref="R2:S2"/>
    <mergeCell ref="T2:U2"/>
    <mergeCell ref="V2:W2"/>
    <mergeCell ref="X2:Y2"/>
    <mergeCell ref="Z2:AA2"/>
    <mergeCell ref="AB2:AC2"/>
    <mergeCell ref="P2:Q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9B0D-6EEF-41DD-8DFC-9594D6E9944C}">
  <dimension ref="B3:G15"/>
  <sheetViews>
    <sheetView workbookViewId="0">
      <selection activeCell="E23" sqref="E23"/>
    </sheetView>
  </sheetViews>
  <sheetFormatPr defaultRowHeight="14.4" x14ac:dyDescent="0.3"/>
  <cols>
    <col min="2" max="2" width="25.33203125" customWidth="1"/>
    <col min="4" max="4" width="15.6640625" bestFit="1" customWidth="1"/>
    <col min="5" max="5" width="66.5546875" customWidth="1"/>
    <col min="6" max="6" width="78.33203125" customWidth="1"/>
  </cols>
  <sheetData>
    <row r="3" spans="2:7" x14ac:dyDescent="0.3">
      <c r="B3" s="1" t="s">
        <v>0</v>
      </c>
      <c r="C3" s="1" t="s">
        <v>19</v>
      </c>
      <c r="D3" s="1" t="s">
        <v>2</v>
      </c>
      <c r="E3" s="1" t="s">
        <v>20</v>
      </c>
      <c r="F3" s="1" t="s">
        <v>150</v>
      </c>
    </row>
    <row r="4" spans="2:7" ht="106.5" customHeight="1" x14ac:dyDescent="0.3">
      <c r="B4" s="30" t="s">
        <v>4</v>
      </c>
      <c r="C4" s="42" t="s">
        <v>31</v>
      </c>
      <c r="D4" s="31">
        <v>0.3</v>
      </c>
      <c r="E4" s="30" t="s">
        <v>32</v>
      </c>
      <c r="F4" s="24" t="s">
        <v>151</v>
      </c>
      <c r="G4" s="20"/>
    </row>
    <row r="5" spans="2:7" x14ac:dyDescent="0.3">
      <c r="B5" s="30" t="s">
        <v>7</v>
      </c>
      <c r="C5" s="43"/>
      <c r="D5" s="31">
        <v>0.2</v>
      </c>
      <c r="E5" s="30" t="s">
        <v>33</v>
      </c>
    </row>
    <row r="6" spans="2:7" ht="83.25" customHeight="1" x14ac:dyDescent="0.3">
      <c r="B6" s="30" t="s">
        <v>10</v>
      </c>
      <c r="C6" s="43"/>
      <c r="D6" s="31">
        <v>0.2</v>
      </c>
      <c r="E6" s="30" t="s">
        <v>34</v>
      </c>
      <c r="F6" s="24" t="s">
        <v>152</v>
      </c>
      <c r="G6" s="20"/>
    </row>
    <row r="7" spans="2:7" x14ac:dyDescent="0.3">
      <c r="B7" s="30" t="s">
        <v>13</v>
      </c>
      <c r="C7" s="43"/>
      <c r="D7" s="31">
        <v>0.15</v>
      </c>
      <c r="E7" s="30" t="s">
        <v>15</v>
      </c>
    </row>
    <row r="8" spans="2:7" ht="43.2" x14ac:dyDescent="0.3">
      <c r="B8" s="30" t="s">
        <v>16</v>
      </c>
      <c r="C8" s="44"/>
      <c r="D8" s="31">
        <v>0.15</v>
      </c>
      <c r="E8" s="32" t="s">
        <v>35</v>
      </c>
    </row>
    <row r="10" spans="2:7" x14ac:dyDescent="0.3">
      <c r="B10" s="1" t="s">
        <v>0</v>
      </c>
      <c r="C10" s="1" t="s">
        <v>19</v>
      </c>
      <c r="D10" s="1" t="s">
        <v>2</v>
      </c>
      <c r="E10" s="1" t="s">
        <v>20</v>
      </c>
    </row>
    <row r="11" spans="2:7" x14ac:dyDescent="0.3">
      <c r="B11" s="4" t="s">
        <v>4</v>
      </c>
      <c r="C11" s="42" t="s">
        <v>36</v>
      </c>
      <c r="D11" s="5">
        <v>0.3</v>
      </c>
      <c r="E11" s="4" t="s">
        <v>37</v>
      </c>
    </row>
    <row r="12" spans="2:7" x14ac:dyDescent="0.3">
      <c r="B12" s="4" t="s">
        <v>7</v>
      </c>
      <c r="C12" s="43"/>
      <c r="D12" s="5">
        <v>0.2</v>
      </c>
      <c r="E12" s="4" t="s">
        <v>39</v>
      </c>
    </row>
    <row r="13" spans="2:7" x14ac:dyDescent="0.3">
      <c r="B13" s="4" t="s">
        <v>10</v>
      </c>
      <c r="C13" s="43"/>
      <c r="D13" s="5">
        <v>0.2</v>
      </c>
      <c r="E13" s="4" t="s">
        <v>40</v>
      </c>
    </row>
    <row r="14" spans="2:7" x14ac:dyDescent="0.3">
      <c r="B14" s="4" t="s">
        <v>13</v>
      </c>
      <c r="C14" s="43"/>
      <c r="D14" s="5">
        <v>0.15</v>
      </c>
      <c r="E14" s="4" t="s">
        <v>15</v>
      </c>
    </row>
    <row r="15" spans="2:7" x14ac:dyDescent="0.3">
      <c r="B15" s="4" t="s">
        <v>16</v>
      </c>
      <c r="C15" s="44"/>
      <c r="D15" s="5">
        <v>0.15</v>
      </c>
      <c r="E15" s="4" t="s">
        <v>40</v>
      </c>
    </row>
  </sheetData>
  <mergeCells count="2">
    <mergeCell ref="C4:C8"/>
    <mergeCell ref="C11:C15"/>
  </mergeCells>
  <hyperlinks>
    <hyperlink ref="F6" r:id="rId1" display="Failed Corporate QA validation.xlsx" xr:uid="{50566D89-E1E7-4FE3-BD2D-621ABBA3D259}"/>
    <hyperlink ref="F4" r:id="rId2" display="https://blueravensolar.sharepoint.com/:x:/s/INTERCONNECTIONTEAM/IQA7Xi6cRIkdRJYtXkkybX6zAVHDmirtESzWWp2f8F6sMRI?e=u8s6gI" xr:uid="{4AF9D148-2BEB-4792-A376-53A072F6711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0473-BFFF-42EB-8077-4F1D31F46992}">
  <dimension ref="B2:K32"/>
  <sheetViews>
    <sheetView showGridLines="0" workbookViewId="0">
      <selection activeCell="C9" sqref="C9:C12"/>
    </sheetView>
  </sheetViews>
  <sheetFormatPr defaultRowHeight="14.4" x14ac:dyDescent="0.3"/>
  <cols>
    <col min="1" max="1" width="2.109375" customWidth="1"/>
    <col min="2" max="2" width="52" bestFit="1" customWidth="1"/>
    <col min="3" max="3" width="78.6640625" customWidth="1"/>
  </cols>
  <sheetData>
    <row r="2" spans="2:11" x14ac:dyDescent="0.3">
      <c r="B2" s="19" t="s">
        <v>20</v>
      </c>
      <c r="C2" s="19" t="s">
        <v>132</v>
      </c>
    </row>
    <row r="3" spans="2:11" ht="21.75" customHeight="1" x14ac:dyDescent="0.3">
      <c r="B3" s="21" t="s">
        <v>133</v>
      </c>
      <c r="C3" s="16" t="s">
        <v>134</v>
      </c>
      <c r="H3" t="s">
        <v>135</v>
      </c>
    </row>
    <row r="4" spans="2:11" ht="47.25" customHeight="1" x14ac:dyDescent="0.3">
      <c r="B4" s="15" t="s">
        <v>136</v>
      </c>
      <c r="C4" s="16" t="s">
        <v>137</v>
      </c>
    </row>
    <row r="5" spans="2:11" ht="33" customHeight="1" x14ac:dyDescent="0.3">
      <c r="B5" s="15" t="s">
        <v>138</v>
      </c>
      <c r="C5" s="17" t="s">
        <v>139</v>
      </c>
    </row>
    <row r="6" spans="2:11" ht="43.2" x14ac:dyDescent="0.3">
      <c r="B6" s="16" t="s">
        <v>13</v>
      </c>
      <c r="C6" s="15" t="s">
        <v>140</v>
      </c>
    </row>
    <row r="7" spans="2:11" ht="86.4" x14ac:dyDescent="0.3">
      <c r="B7" s="22" t="s">
        <v>141</v>
      </c>
      <c r="C7" s="23" t="s">
        <v>142</v>
      </c>
    </row>
    <row r="8" spans="2:11" ht="72" x14ac:dyDescent="0.3">
      <c r="B8" s="28" t="s">
        <v>143</v>
      </c>
      <c r="C8" s="29" t="s">
        <v>144</v>
      </c>
    </row>
    <row r="9" spans="2:11" x14ac:dyDescent="0.3">
      <c r="B9" s="52" t="s">
        <v>145</v>
      </c>
      <c r="C9" s="18" t="s">
        <v>88</v>
      </c>
    </row>
    <row r="10" spans="2:11" x14ac:dyDescent="0.3">
      <c r="B10" s="53"/>
      <c r="C10" s="18" t="s">
        <v>89</v>
      </c>
    </row>
    <row r="11" spans="2:11" x14ac:dyDescent="0.3">
      <c r="B11" s="53"/>
      <c r="C11" s="18" t="s">
        <v>90</v>
      </c>
    </row>
    <row r="12" spans="2:11" x14ac:dyDescent="0.3">
      <c r="B12" s="53"/>
      <c r="C12" s="18" t="s">
        <v>91</v>
      </c>
    </row>
    <row r="14" spans="2:11" x14ac:dyDescent="0.3">
      <c r="H14" t="s">
        <v>146</v>
      </c>
      <c r="K14" s="25"/>
    </row>
    <row r="15" spans="2:11" x14ac:dyDescent="0.3">
      <c r="B15" t="s">
        <v>147</v>
      </c>
    </row>
    <row r="16" spans="2:11" x14ac:dyDescent="0.3">
      <c r="H16" t="s">
        <v>148</v>
      </c>
    </row>
    <row r="17" spans="8:11" x14ac:dyDescent="0.3">
      <c r="H17" t="s">
        <v>125</v>
      </c>
    </row>
    <row r="18" spans="8:11" x14ac:dyDescent="0.3">
      <c r="H18" s="33">
        <v>0.61597222222222225</v>
      </c>
      <c r="K18" s="25"/>
    </row>
    <row r="20" spans="8:11" x14ac:dyDescent="0.3">
      <c r="H20" t="s">
        <v>149</v>
      </c>
    </row>
    <row r="22" spans="8:11" x14ac:dyDescent="0.3">
      <c r="K22" s="25"/>
    </row>
    <row r="26" spans="8:11" x14ac:dyDescent="0.3">
      <c r="K26" s="25"/>
    </row>
    <row r="30" spans="8:11" x14ac:dyDescent="0.3">
      <c r="K30" s="26"/>
    </row>
    <row r="31" spans="8:11" x14ac:dyDescent="0.3">
      <c r="K31" s="27"/>
    </row>
    <row r="32" spans="8:11" x14ac:dyDescent="0.3">
      <c r="K32" s="27"/>
    </row>
  </sheetData>
  <mergeCells count="1">
    <mergeCell ref="B9:B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2D855B782AB43A7DED71E06078067" ma:contentTypeVersion="8" ma:contentTypeDescription="Create a new document." ma:contentTypeScope="" ma:versionID="fee04978b6e6d4c3aa0a2561b2fca549">
  <xsd:schema xmlns:xsd="http://www.w3.org/2001/XMLSchema" xmlns:xs="http://www.w3.org/2001/XMLSchema" xmlns:p="http://schemas.microsoft.com/office/2006/metadata/properties" xmlns:ns2="b72a540c-6c58-4622-897c-cd06243819d9" targetNamespace="http://schemas.microsoft.com/office/2006/metadata/properties" ma:root="true" ma:fieldsID="464a522e2aa0a481fc081a41cb098dea" ns2:_="">
    <xsd:import namespace="b72a540c-6c58-4622-897c-cd0624381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2a540c-6c58-4622-897c-cd0624381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DC046D-EA35-4007-9DA0-D0E51A70A861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b72a540c-6c58-4622-897c-cd06243819d9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999539D-F1BF-46A3-9024-BAAF8162C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2a540c-6c58-4622-897c-cd0624381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348613-5DF2-4777-9D7C-454E4BA6C6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Areas to Measure</vt:lpstr>
      <vt:lpstr>IX OHO</vt:lpstr>
      <vt:lpstr>PC SAC</vt:lpstr>
      <vt:lpstr>Individual Scorecard</vt:lpstr>
      <vt:lpstr>Report Links IX OHO PC SAC</vt:lpstr>
      <vt:lpstr>Logic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AWP - Anthony Panganiban</dc:creator>
  <cp:keywords/>
  <dc:description/>
  <cp:lastModifiedBy>MTO - Mark Kevin Olivar</cp:lastModifiedBy>
  <cp:revision/>
  <dcterms:created xsi:type="dcterms:W3CDTF">2026-05-12T19:32:24Z</dcterms:created>
  <dcterms:modified xsi:type="dcterms:W3CDTF">2026-05-14T22:41:55Z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0x0101009A92D855B782AB43A7DED71E06078067</vt:lpwstr>
  </property>
</Properties>
</file>